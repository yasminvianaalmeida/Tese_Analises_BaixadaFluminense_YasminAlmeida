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mi\Downloads\PARA_SUBIR_NO_GITHUB_IC-INDE\ic-inde\"/>
    </mc:Choice>
  </mc:AlternateContent>
  <xr:revisionPtr revIDLastSave="0" documentId="13_ncr:1_{F4BA092F-8CCD-4A44-BF9B-F36B9C0239B3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Base_bruta" sheetId="2" r:id="rId1"/>
    <sheet name="Base_Tratada" sheetId="4" r:id="rId2"/>
    <sheet name="Parâmetros" sheetId="5" r:id="rId3"/>
    <sheet name="Cálculo_IC-INDE" sheetId="6" r:id="rId4"/>
    <sheet name="Agregações" sheetId="9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6" l="1"/>
  <c r="F3" i="6"/>
  <c r="J3" i="6" s="1"/>
  <c r="I70" i="6"/>
  <c r="H70" i="6"/>
  <c r="G70" i="6"/>
  <c r="F70" i="6"/>
  <c r="E70" i="6"/>
  <c r="D70" i="6"/>
  <c r="C70" i="6"/>
  <c r="B70" i="6"/>
  <c r="A70" i="6"/>
  <c r="I69" i="6"/>
  <c r="K69" i="6" s="1"/>
  <c r="L69" i="6" s="1"/>
  <c r="H69" i="6"/>
  <c r="G69" i="6"/>
  <c r="J69" i="6" s="1"/>
  <c r="F69" i="6"/>
  <c r="E69" i="6"/>
  <c r="D69" i="6"/>
  <c r="C69" i="6"/>
  <c r="B69" i="6"/>
  <c r="A69" i="6"/>
  <c r="I68" i="6"/>
  <c r="K68" i="6" s="1"/>
  <c r="H68" i="6"/>
  <c r="G68" i="6"/>
  <c r="J68" i="6" s="1"/>
  <c r="F68" i="6"/>
  <c r="E68" i="6"/>
  <c r="D68" i="6"/>
  <c r="C68" i="6"/>
  <c r="B68" i="6"/>
  <c r="A68" i="6"/>
  <c r="K67" i="6"/>
  <c r="I67" i="6"/>
  <c r="L67" i="6" s="1"/>
  <c r="H67" i="6"/>
  <c r="G67" i="6"/>
  <c r="F67" i="6"/>
  <c r="J67" i="6" s="1"/>
  <c r="E67" i="6"/>
  <c r="D67" i="6"/>
  <c r="C67" i="6"/>
  <c r="B67" i="6"/>
  <c r="A67" i="6"/>
  <c r="K66" i="6"/>
  <c r="I66" i="6"/>
  <c r="L66" i="6" s="1"/>
  <c r="H66" i="6"/>
  <c r="G66" i="6"/>
  <c r="J66" i="6" s="1"/>
  <c r="F66" i="6"/>
  <c r="E66" i="6"/>
  <c r="D66" i="6"/>
  <c r="C66" i="6"/>
  <c r="B66" i="6"/>
  <c r="A66" i="6"/>
  <c r="I65" i="6"/>
  <c r="H65" i="6"/>
  <c r="G65" i="6"/>
  <c r="F65" i="6"/>
  <c r="E65" i="6"/>
  <c r="D65" i="6"/>
  <c r="C65" i="6"/>
  <c r="B65" i="6"/>
  <c r="A65" i="6"/>
  <c r="I64" i="6"/>
  <c r="K64" i="6" s="1"/>
  <c r="L64" i="6" s="1"/>
  <c r="H64" i="6"/>
  <c r="G64" i="6"/>
  <c r="F64" i="6"/>
  <c r="J64" i="6" s="1"/>
  <c r="E64" i="6"/>
  <c r="D64" i="6"/>
  <c r="C64" i="6"/>
  <c r="B64" i="6"/>
  <c r="A64" i="6"/>
  <c r="I63" i="6"/>
  <c r="H63" i="6"/>
  <c r="G63" i="6"/>
  <c r="J63" i="6" s="1"/>
  <c r="F63" i="6"/>
  <c r="M63" i="6" s="1"/>
  <c r="E63" i="6"/>
  <c r="D63" i="6"/>
  <c r="C63" i="6"/>
  <c r="B63" i="6"/>
  <c r="A63" i="6"/>
  <c r="K62" i="6"/>
  <c r="I62" i="6"/>
  <c r="H62" i="6"/>
  <c r="G62" i="6"/>
  <c r="F62" i="6"/>
  <c r="E62" i="6"/>
  <c r="D62" i="6"/>
  <c r="C62" i="6"/>
  <c r="B62" i="6"/>
  <c r="A62" i="6"/>
  <c r="L61" i="6"/>
  <c r="I61" i="6"/>
  <c r="K61" i="6" s="1"/>
  <c r="H61" i="6"/>
  <c r="G61" i="6"/>
  <c r="J61" i="6" s="1"/>
  <c r="F61" i="6"/>
  <c r="E61" i="6"/>
  <c r="D61" i="6"/>
  <c r="C61" i="6"/>
  <c r="B61" i="6"/>
  <c r="A61" i="6"/>
  <c r="K60" i="6"/>
  <c r="L60" i="6" s="1"/>
  <c r="I60" i="6"/>
  <c r="H60" i="6"/>
  <c r="G60" i="6"/>
  <c r="F60" i="6"/>
  <c r="E60" i="6"/>
  <c r="D60" i="6"/>
  <c r="C60" i="6"/>
  <c r="B60" i="6"/>
  <c r="A60" i="6"/>
  <c r="K59" i="6"/>
  <c r="L59" i="6" s="1"/>
  <c r="J59" i="6"/>
  <c r="I59" i="6"/>
  <c r="H59" i="6"/>
  <c r="G59" i="6"/>
  <c r="F59" i="6"/>
  <c r="E59" i="6"/>
  <c r="D59" i="6"/>
  <c r="C59" i="6"/>
  <c r="B59" i="6"/>
  <c r="A59" i="6"/>
  <c r="K58" i="6"/>
  <c r="I58" i="6"/>
  <c r="H58" i="6"/>
  <c r="G58" i="6"/>
  <c r="F58" i="6"/>
  <c r="E58" i="6"/>
  <c r="D58" i="6"/>
  <c r="C58" i="6"/>
  <c r="B58" i="6"/>
  <c r="A58" i="6"/>
  <c r="I57" i="6"/>
  <c r="H57" i="6"/>
  <c r="G57" i="6"/>
  <c r="F57" i="6"/>
  <c r="M57" i="6" s="1"/>
  <c r="E57" i="6"/>
  <c r="D57" i="6"/>
  <c r="C57" i="6"/>
  <c r="B57" i="6"/>
  <c r="A57" i="6"/>
  <c r="I56" i="6"/>
  <c r="K56" i="6" s="1"/>
  <c r="L56" i="6" s="1"/>
  <c r="H56" i="6"/>
  <c r="G56" i="6"/>
  <c r="J56" i="6" s="1"/>
  <c r="F56" i="6"/>
  <c r="E56" i="6"/>
  <c r="D56" i="6"/>
  <c r="C56" i="6"/>
  <c r="B56" i="6"/>
  <c r="A56" i="6"/>
  <c r="J55" i="6"/>
  <c r="I55" i="6"/>
  <c r="H55" i="6"/>
  <c r="G55" i="6"/>
  <c r="F55" i="6"/>
  <c r="E55" i="6"/>
  <c r="D55" i="6"/>
  <c r="C55" i="6"/>
  <c r="B55" i="6"/>
  <c r="A55" i="6"/>
  <c r="I54" i="6"/>
  <c r="K54" i="6" s="1"/>
  <c r="H54" i="6"/>
  <c r="G54" i="6"/>
  <c r="F54" i="6"/>
  <c r="E54" i="6"/>
  <c r="D54" i="6"/>
  <c r="C54" i="6"/>
  <c r="B54" i="6"/>
  <c r="A54" i="6"/>
  <c r="I53" i="6"/>
  <c r="K53" i="6" s="1"/>
  <c r="H53" i="6"/>
  <c r="G53" i="6"/>
  <c r="F53" i="6"/>
  <c r="E53" i="6"/>
  <c r="D53" i="6"/>
  <c r="C53" i="6"/>
  <c r="B53" i="6"/>
  <c r="A53" i="6"/>
  <c r="I52" i="6"/>
  <c r="K52" i="6" s="1"/>
  <c r="L52" i="6" s="1"/>
  <c r="H52" i="6"/>
  <c r="G52" i="6"/>
  <c r="F52" i="6"/>
  <c r="M52" i="6" s="1"/>
  <c r="E52" i="6"/>
  <c r="D52" i="6"/>
  <c r="C52" i="6"/>
  <c r="B52" i="6"/>
  <c r="A52" i="6"/>
  <c r="I51" i="6"/>
  <c r="K51" i="6" s="1"/>
  <c r="L51" i="6" s="1"/>
  <c r="H51" i="6"/>
  <c r="G51" i="6"/>
  <c r="J51" i="6" s="1"/>
  <c r="F51" i="6"/>
  <c r="E51" i="6"/>
  <c r="D51" i="6"/>
  <c r="C51" i="6"/>
  <c r="B51" i="6"/>
  <c r="A51" i="6"/>
  <c r="K50" i="6"/>
  <c r="I50" i="6"/>
  <c r="H50" i="6"/>
  <c r="G50" i="6"/>
  <c r="F50" i="6"/>
  <c r="M50" i="6" s="1"/>
  <c r="E50" i="6"/>
  <c r="D50" i="6"/>
  <c r="C50" i="6"/>
  <c r="B50" i="6"/>
  <c r="A50" i="6"/>
  <c r="I49" i="6"/>
  <c r="H49" i="6"/>
  <c r="G49" i="6"/>
  <c r="F49" i="6"/>
  <c r="M49" i="6" s="1"/>
  <c r="E49" i="6"/>
  <c r="D49" i="6"/>
  <c r="C49" i="6"/>
  <c r="B49" i="6"/>
  <c r="A49" i="6"/>
  <c r="L48" i="6"/>
  <c r="J48" i="6"/>
  <c r="I48" i="6"/>
  <c r="K48" i="6" s="1"/>
  <c r="H48" i="6"/>
  <c r="G48" i="6"/>
  <c r="F48" i="6"/>
  <c r="E48" i="6"/>
  <c r="D48" i="6"/>
  <c r="C48" i="6"/>
  <c r="B48" i="6"/>
  <c r="A48" i="6"/>
  <c r="M47" i="6"/>
  <c r="I47" i="6"/>
  <c r="H47" i="6"/>
  <c r="G47" i="6"/>
  <c r="F47" i="6"/>
  <c r="J47" i="6" s="1"/>
  <c r="E47" i="6"/>
  <c r="D47" i="6"/>
  <c r="C47" i="6"/>
  <c r="B47" i="6"/>
  <c r="A47" i="6"/>
  <c r="I46" i="6"/>
  <c r="H46" i="6"/>
  <c r="G46" i="6"/>
  <c r="F46" i="6"/>
  <c r="E46" i="6"/>
  <c r="D46" i="6"/>
  <c r="C46" i="6"/>
  <c r="B46" i="6"/>
  <c r="A46" i="6"/>
  <c r="I45" i="6"/>
  <c r="K45" i="6" s="1"/>
  <c r="H45" i="6"/>
  <c r="G45" i="6"/>
  <c r="F45" i="6"/>
  <c r="E45" i="6"/>
  <c r="D45" i="6"/>
  <c r="C45" i="6"/>
  <c r="B45" i="6"/>
  <c r="A45" i="6"/>
  <c r="I44" i="6"/>
  <c r="K44" i="6" s="1"/>
  <c r="L44" i="6" s="1"/>
  <c r="H44" i="6"/>
  <c r="G44" i="6"/>
  <c r="J44" i="6" s="1"/>
  <c r="F44" i="6"/>
  <c r="E44" i="6"/>
  <c r="D44" i="6"/>
  <c r="C44" i="6"/>
  <c r="B44" i="6"/>
  <c r="A44" i="6"/>
  <c r="I43" i="6"/>
  <c r="H43" i="6"/>
  <c r="G43" i="6"/>
  <c r="J43" i="6" s="1"/>
  <c r="F43" i="6"/>
  <c r="M43" i="6" s="1"/>
  <c r="E43" i="6"/>
  <c r="D43" i="6"/>
  <c r="C43" i="6"/>
  <c r="B43" i="6"/>
  <c r="A43" i="6"/>
  <c r="K42" i="6"/>
  <c r="I42" i="6"/>
  <c r="H42" i="6"/>
  <c r="G42" i="6"/>
  <c r="F42" i="6"/>
  <c r="E42" i="6"/>
  <c r="D42" i="6"/>
  <c r="C42" i="6"/>
  <c r="B42" i="6"/>
  <c r="A42" i="6"/>
  <c r="I41" i="6"/>
  <c r="H41" i="6"/>
  <c r="G41" i="6"/>
  <c r="F41" i="6"/>
  <c r="M41" i="6" s="1"/>
  <c r="E41" i="6"/>
  <c r="D41" i="6"/>
  <c r="C41" i="6"/>
  <c r="B41" i="6"/>
  <c r="A41" i="6"/>
  <c r="I40" i="6"/>
  <c r="K40" i="6" s="1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K38" i="6"/>
  <c r="I38" i="6"/>
  <c r="H38" i="6"/>
  <c r="G38" i="6"/>
  <c r="F38" i="6"/>
  <c r="E38" i="6"/>
  <c r="D38" i="6"/>
  <c r="C38" i="6"/>
  <c r="B38" i="6"/>
  <c r="A38" i="6"/>
  <c r="I37" i="6"/>
  <c r="K37" i="6" s="1"/>
  <c r="H37" i="6"/>
  <c r="G37" i="6"/>
  <c r="F37" i="6"/>
  <c r="E37" i="6"/>
  <c r="D37" i="6"/>
  <c r="C37" i="6"/>
  <c r="B37" i="6"/>
  <c r="A37" i="6"/>
  <c r="I36" i="6"/>
  <c r="K36" i="6" s="1"/>
  <c r="L36" i="6" s="1"/>
  <c r="H36" i="6"/>
  <c r="G36" i="6"/>
  <c r="J36" i="6" s="1"/>
  <c r="F36" i="6"/>
  <c r="E36" i="6"/>
  <c r="D36" i="6"/>
  <c r="C36" i="6"/>
  <c r="B36" i="6"/>
  <c r="A36" i="6"/>
  <c r="K35" i="6"/>
  <c r="L35" i="6" s="1"/>
  <c r="J35" i="6"/>
  <c r="I35" i="6"/>
  <c r="H35" i="6"/>
  <c r="G35" i="6"/>
  <c r="F35" i="6"/>
  <c r="E35" i="6"/>
  <c r="D35" i="6"/>
  <c r="C35" i="6"/>
  <c r="B35" i="6"/>
  <c r="A35" i="6"/>
  <c r="K34" i="6"/>
  <c r="I34" i="6"/>
  <c r="H34" i="6"/>
  <c r="G34" i="6"/>
  <c r="F34" i="6"/>
  <c r="M34" i="6" s="1"/>
  <c r="E34" i="6"/>
  <c r="D34" i="6"/>
  <c r="C34" i="6"/>
  <c r="B34" i="6"/>
  <c r="A34" i="6"/>
  <c r="I33" i="6"/>
  <c r="K33" i="6" s="1"/>
  <c r="H33" i="6"/>
  <c r="G33" i="6"/>
  <c r="J33" i="6" s="1"/>
  <c r="F33" i="6"/>
  <c r="E33" i="6"/>
  <c r="D33" i="6"/>
  <c r="C33" i="6"/>
  <c r="B33" i="6"/>
  <c r="A33" i="6"/>
  <c r="M32" i="6"/>
  <c r="I32" i="6"/>
  <c r="K32" i="6" s="1"/>
  <c r="L32" i="6" s="1"/>
  <c r="H32" i="6"/>
  <c r="G32" i="6"/>
  <c r="J32" i="6" s="1"/>
  <c r="F32" i="6"/>
  <c r="E32" i="6"/>
  <c r="D32" i="6"/>
  <c r="C32" i="6"/>
  <c r="B32" i="6"/>
  <c r="A32" i="6"/>
  <c r="J31" i="6"/>
  <c r="I31" i="6"/>
  <c r="H31" i="6"/>
  <c r="G31" i="6"/>
  <c r="F31" i="6"/>
  <c r="M31" i="6" s="1"/>
  <c r="E31" i="6"/>
  <c r="D31" i="6"/>
  <c r="C31" i="6"/>
  <c r="B31" i="6"/>
  <c r="A31" i="6"/>
  <c r="I30" i="6"/>
  <c r="K30" i="6" s="1"/>
  <c r="H30" i="6"/>
  <c r="G30" i="6"/>
  <c r="F30" i="6"/>
  <c r="E30" i="6"/>
  <c r="D30" i="6"/>
  <c r="C30" i="6"/>
  <c r="B30" i="6"/>
  <c r="A30" i="6"/>
  <c r="I29" i="6"/>
  <c r="K29" i="6" s="1"/>
  <c r="H29" i="6"/>
  <c r="G29" i="6"/>
  <c r="J29" i="6" s="1"/>
  <c r="F29" i="6"/>
  <c r="E29" i="6"/>
  <c r="D29" i="6"/>
  <c r="C29" i="6"/>
  <c r="B29" i="6"/>
  <c r="A29" i="6"/>
  <c r="K28" i="6"/>
  <c r="L28" i="6" s="1"/>
  <c r="I28" i="6"/>
  <c r="H28" i="6"/>
  <c r="G28" i="6"/>
  <c r="J28" i="6" s="1"/>
  <c r="F28" i="6"/>
  <c r="E28" i="6"/>
  <c r="D28" i="6"/>
  <c r="C28" i="6"/>
  <c r="B28" i="6"/>
  <c r="A28" i="6"/>
  <c r="J27" i="6"/>
  <c r="I27" i="6"/>
  <c r="H27" i="6"/>
  <c r="G27" i="6"/>
  <c r="F27" i="6"/>
  <c r="M27" i="6" s="1"/>
  <c r="E27" i="6"/>
  <c r="D27" i="6"/>
  <c r="C27" i="6"/>
  <c r="B27" i="6"/>
  <c r="A27" i="6"/>
  <c r="I26" i="6"/>
  <c r="K26" i="6" s="1"/>
  <c r="H26" i="6"/>
  <c r="G26" i="6"/>
  <c r="F26" i="6"/>
  <c r="E26" i="6"/>
  <c r="D26" i="6"/>
  <c r="C26" i="6"/>
  <c r="B26" i="6"/>
  <c r="A26" i="6"/>
  <c r="L25" i="6"/>
  <c r="I25" i="6"/>
  <c r="K25" i="6" s="1"/>
  <c r="H25" i="6"/>
  <c r="G25" i="6"/>
  <c r="F25" i="6"/>
  <c r="M25" i="6" s="1"/>
  <c r="E25" i="6"/>
  <c r="D25" i="6"/>
  <c r="C25" i="6"/>
  <c r="B25" i="6"/>
  <c r="A25" i="6"/>
  <c r="L24" i="6"/>
  <c r="J24" i="6"/>
  <c r="I24" i="6"/>
  <c r="K24" i="6" s="1"/>
  <c r="H24" i="6"/>
  <c r="G24" i="6"/>
  <c r="F24" i="6"/>
  <c r="M24" i="6" s="1"/>
  <c r="E24" i="6"/>
  <c r="D24" i="6"/>
  <c r="C24" i="6"/>
  <c r="B24" i="6"/>
  <c r="A24" i="6"/>
  <c r="M23" i="6"/>
  <c r="I23" i="6"/>
  <c r="H23" i="6"/>
  <c r="G23" i="6"/>
  <c r="F23" i="6"/>
  <c r="J23" i="6" s="1"/>
  <c r="E23" i="6"/>
  <c r="D23" i="6"/>
  <c r="C23" i="6"/>
  <c r="B23" i="6"/>
  <c r="A23" i="6"/>
  <c r="I22" i="6"/>
  <c r="H22" i="6"/>
  <c r="G22" i="6"/>
  <c r="F22" i="6"/>
  <c r="E22" i="6"/>
  <c r="D22" i="6"/>
  <c r="C22" i="6"/>
  <c r="B22" i="6"/>
  <c r="A22" i="6"/>
  <c r="I21" i="6"/>
  <c r="K21" i="6" s="1"/>
  <c r="H21" i="6"/>
  <c r="G21" i="6"/>
  <c r="F21" i="6"/>
  <c r="E21" i="6"/>
  <c r="D21" i="6"/>
  <c r="C21" i="6"/>
  <c r="B21" i="6"/>
  <c r="A21" i="6"/>
  <c r="I20" i="6"/>
  <c r="K20" i="6" s="1"/>
  <c r="L20" i="6" s="1"/>
  <c r="H20" i="6"/>
  <c r="G20" i="6"/>
  <c r="J20" i="6" s="1"/>
  <c r="F20" i="6"/>
  <c r="E20" i="6"/>
  <c r="D20" i="6"/>
  <c r="C20" i="6"/>
  <c r="B20" i="6"/>
  <c r="A20" i="6"/>
  <c r="I19" i="6"/>
  <c r="K19" i="6" s="1"/>
  <c r="L19" i="6" s="1"/>
  <c r="H19" i="6"/>
  <c r="G19" i="6"/>
  <c r="F19" i="6"/>
  <c r="M19" i="6" s="1"/>
  <c r="E19" i="6"/>
  <c r="D19" i="6"/>
  <c r="C19" i="6"/>
  <c r="B19" i="6"/>
  <c r="A19" i="6"/>
  <c r="I18" i="6"/>
  <c r="K18" i="6" s="1"/>
  <c r="H18" i="6"/>
  <c r="G18" i="6"/>
  <c r="F18" i="6"/>
  <c r="E18" i="6"/>
  <c r="D18" i="6"/>
  <c r="C18" i="6"/>
  <c r="B18" i="6"/>
  <c r="A18" i="6"/>
  <c r="I17" i="6"/>
  <c r="K17" i="6" s="1"/>
  <c r="H17" i="6"/>
  <c r="G17" i="6"/>
  <c r="F17" i="6"/>
  <c r="E17" i="6"/>
  <c r="D17" i="6"/>
  <c r="C17" i="6"/>
  <c r="B17" i="6"/>
  <c r="A17" i="6"/>
  <c r="L16" i="6"/>
  <c r="J16" i="6"/>
  <c r="I16" i="6"/>
  <c r="K16" i="6" s="1"/>
  <c r="H16" i="6"/>
  <c r="G16" i="6"/>
  <c r="F16" i="6"/>
  <c r="M16" i="6" s="1"/>
  <c r="E16" i="6"/>
  <c r="D16" i="6"/>
  <c r="C16" i="6"/>
  <c r="B16" i="6"/>
  <c r="A16" i="6"/>
  <c r="J15" i="6"/>
  <c r="I15" i="6"/>
  <c r="H15" i="6"/>
  <c r="G15" i="6"/>
  <c r="F15" i="6"/>
  <c r="M15" i="6" s="1"/>
  <c r="E15" i="6"/>
  <c r="D15" i="6"/>
  <c r="C15" i="6"/>
  <c r="B15" i="6"/>
  <c r="A15" i="6"/>
  <c r="K14" i="6"/>
  <c r="J14" i="6"/>
  <c r="I14" i="6"/>
  <c r="H14" i="6"/>
  <c r="G14" i="6"/>
  <c r="F14" i="6"/>
  <c r="E14" i="6"/>
  <c r="D14" i="6"/>
  <c r="C14" i="6"/>
  <c r="B14" i="6"/>
  <c r="A14" i="6"/>
  <c r="I13" i="6"/>
  <c r="K13" i="6" s="1"/>
  <c r="L13" i="6" s="1"/>
  <c r="H13" i="6"/>
  <c r="G13" i="6"/>
  <c r="F13" i="6"/>
  <c r="J13" i="6" s="1"/>
  <c r="E13" i="6"/>
  <c r="D13" i="6"/>
  <c r="C13" i="6"/>
  <c r="B13" i="6"/>
  <c r="A13" i="6"/>
  <c r="I12" i="6"/>
  <c r="K12" i="6" s="1"/>
  <c r="L12" i="6" s="1"/>
  <c r="H12" i="6"/>
  <c r="G12" i="6"/>
  <c r="J12" i="6" s="1"/>
  <c r="F12" i="6"/>
  <c r="E12" i="6"/>
  <c r="D12" i="6"/>
  <c r="C12" i="6"/>
  <c r="B12" i="6"/>
  <c r="A12" i="6"/>
  <c r="I11" i="6"/>
  <c r="K11" i="6" s="1"/>
  <c r="H11" i="6"/>
  <c r="G11" i="6"/>
  <c r="J11" i="6" s="1"/>
  <c r="F11" i="6"/>
  <c r="E11" i="6"/>
  <c r="D11" i="6"/>
  <c r="C11" i="6"/>
  <c r="B11" i="6"/>
  <c r="A11" i="6"/>
  <c r="K10" i="6"/>
  <c r="L10" i="6" s="1"/>
  <c r="I10" i="6"/>
  <c r="H10" i="6"/>
  <c r="G10" i="6"/>
  <c r="F10" i="6"/>
  <c r="M10" i="6" s="1"/>
  <c r="E10" i="6"/>
  <c r="D10" i="6"/>
  <c r="C10" i="6"/>
  <c r="B10" i="6"/>
  <c r="A10" i="6"/>
  <c r="I9" i="6"/>
  <c r="K9" i="6" s="1"/>
  <c r="H9" i="6"/>
  <c r="G9" i="6"/>
  <c r="F9" i="6"/>
  <c r="E9" i="6"/>
  <c r="D9" i="6"/>
  <c r="C9" i="6"/>
  <c r="B9" i="6"/>
  <c r="A9" i="6"/>
  <c r="M8" i="6"/>
  <c r="J8" i="6"/>
  <c r="I8" i="6"/>
  <c r="K8" i="6" s="1"/>
  <c r="H8" i="6"/>
  <c r="G8" i="6"/>
  <c r="F8" i="6"/>
  <c r="E8" i="6"/>
  <c r="D8" i="6"/>
  <c r="C8" i="6"/>
  <c r="B8" i="6"/>
  <c r="A8" i="6"/>
  <c r="J7" i="6"/>
  <c r="I7" i="6"/>
  <c r="H7" i="6"/>
  <c r="G7" i="6"/>
  <c r="F7" i="6"/>
  <c r="M7" i="6" s="1"/>
  <c r="E7" i="6"/>
  <c r="D7" i="6"/>
  <c r="C7" i="6"/>
  <c r="B7" i="6"/>
  <c r="A7" i="6"/>
  <c r="J6" i="6"/>
  <c r="I6" i="6"/>
  <c r="K6" i="6" s="1"/>
  <c r="H6" i="6"/>
  <c r="G6" i="6"/>
  <c r="F6" i="6"/>
  <c r="M6" i="6" s="1"/>
  <c r="E6" i="6"/>
  <c r="D6" i="6"/>
  <c r="C6" i="6"/>
  <c r="B6" i="6"/>
  <c r="A6" i="6"/>
  <c r="K5" i="6"/>
  <c r="L5" i="6" s="1"/>
  <c r="I5" i="6"/>
  <c r="H5" i="6"/>
  <c r="G5" i="6"/>
  <c r="F5" i="6"/>
  <c r="J5" i="6" s="1"/>
  <c r="E5" i="6"/>
  <c r="D5" i="6"/>
  <c r="C5" i="6"/>
  <c r="B5" i="6"/>
  <c r="A5" i="6"/>
  <c r="K4" i="6"/>
  <c r="L4" i="6" s="1"/>
  <c r="I4" i="6"/>
  <c r="H4" i="6"/>
  <c r="G4" i="6"/>
  <c r="F4" i="6"/>
  <c r="M4" i="6" s="1"/>
  <c r="E4" i="6"/>
  <c r="D4" i="6"/>
  <c r="C4" i="6"/>
  <c r="B4" i="6"/>
  <c r="A4" i="6"/>
  <c r="I3" i="6"/>
  <c r="K3" i="6" s="1"/>
  <c r="L3" i="6" s="1"/>
  <c r="H3" i="6"/>
  <c r="E3" i="6"/>
  <c r="D3" i="6"/>
  <c r="B19" i="9" s="1"/>
  <c r="C3" i="6"/>
  <c r="B3" i="6"/>
  <c r="A3" i="6"/>
  <c r="I2" i="6"/>
  <c r="K2" i="6" s="1"/>
  <c r="H2" i="6"/>
  <c r="F2" i="6"/>
  <c r="M2" i="6" s="1"/>
  <c r="E2" i="6"/>
  <c r="D2" i="6"/>
  <c r="C2" i="6"/>
  <c r="E5" i="9" s="1"/>
  <c r="B2" i="6"/>
  <c r="A2" i="6"/>
  <c r="B9" i="5"/>
  <c r="M64" i="6" s="1"/>
  <c r="B8" i="5"/>
  <c r="B10" i="5" s="1"/>
  <c r="M67" i="6" l="1"/>
  <c r="N67" i="6" s="1"/>
  <c r="M69" i="6"/>
  <c r="N69" i="6" s="1"/>
  <c r="L11" i="6"/>
  <c r="N11" i="6" s="1"/>
  <c r="J19" i="6"/>
  <c r="N19" i="6" s="1"/>
  <c r="J40" i="6"/>
  <c r="J49" i="6"/>
  <c r="J52" i="6"/>
  <c r="J4" i="6"/>
  <c r="L29" i="6"/>
  <c r="Q29" i="6" s="1"/>
  <c r="T29" i="6" s="1"/>
  <c r="M35" i="6"/>
  <c r="Q35" i="6" s="1"/>
  <c r="T35" i="6" s="1"/>
  <c r="M37" i="6"/>
  <c r="M55" i="6"/>
  <c r="J57" i="6"/>
  <c r="M60" i="6"/>
  <c r="L46" i="6"/>
  <c r="J60" i="6"/>
  <c r="J10" i="6"/>
  <c r="Q10" i="6" s="1"/>
  <c r="T10" i="6" s="1"/>
  <c r="M11" i="6"/>
  <c r="J37" i="6"/>
  <c r="K43" i="6"/>
  <c r="L43" i="6" s="1"/>
  <c r="K22" i="6"/>
  <c r="L22" i="6" s="1"/>
  <c r="M28" i="6"/>
  <c r="N28" i="6" s="1"/>
  <c r="L40" i="6"/>
  <c r="M42" i="6"/>
  <c r="K46" i="6"/>
  <c r="J42" i="6"/>
  <c r="M65" i="6"/>
  <c r="M68" i="6"/>
  <c r="M18" i="6"/>
  <c r="M21" i="6"/>
  <c r="M45" i="6"/>
  <c r="M9" i="6"/>
  <c r="J21" i="6"/>
  <c r="J45" i="6"/>
  <c r="N45" i="6" s="1"/>
  <c r="M12" i="6"/>
  <c r="M36" i="6"/>
  <c r="N59" i="6"/>
  <c r="L26" i="6"/>
  <c r="L62" i="6"/>
  <c r="M39" i="6"/>
  <c r="L45" i="6"/>
  <c r="J50" i="6"/>
  <c r="M51" i="6"/>
  <c r="Q51" i="6" s="1"/>
  <c r="M53" i="6"/>
  <c r="M58" i="6"/>
  <c r="M3" i="6"/>
  <c r="Q3" i="6" s="1"/>
  <c r="K27" i="6"/>
  <c r="L27" i="6" s="1"/>
  <c r="J53" i="6"/>
  <c r="J58" i="6"/>
  <c r="M59" i="6"/>
  <c r="Q59" i="6" s="1"/>
  <c r="T59" i="6" s="1"/>
  <c r="L70" i="6"/>
  <c r="L9" i="6"/>
  <c r="M14" i="6"/>
  <c r="K24" i="9" s="1"/>
  <c r="M33" i="6"/>
  <c r="M20" i="6"/>
  <c r="N20" i="6" s="1"/>
  <c r="M26" i="6"/>
  <c r="M44" i="6"/>
  <c r="M61" i="6"/>
  <c r="K70" i="6"/>
  <c r="M17" i="6"/>
  <c r="L21" i="6"/>
  <c r="M29" i="6"/>
  <c r="M66" i="6"/>
  <c r="Q66" i="6" s="1"/>
  <c r="T66" i="6" s="1"/>
  <c r="Q32" i="6"/>
  <c r="N32" i="6"/>
  <c r="N4" i="6"/>
  <c r="Q4" i="6"/>
  <c r="T51" i="6"/>
  <c r="N12" i="6"/>
  <c r="Q12" i="6"/>
  <c r="N36" i="6"/>
  <c r="Q36" i="6"/>
  <c r="N3" i="6"/>
  <c r="D13" i="9"/>
  <c r="E14" i="9"/>
  <c r="D17" i="9"/>
  <c r="B12" i="9"/>
  <c r="M46" i="6"/>
  <c r="J46" i="6"/>
  <c r="J18" i="6"/>
  <c r="L33" i="6"/>
  <c r="N52" i="6"/>
  <c r="Q52" i="6"/>
  <c r="L53" i="6"/>
  <c r="L58" i="6"/>
  <c r="M62" i="6"/>
  <c r="J62" i="6"/>
  <c r="K63" i="6"/>
  <c r="L63" i="6" s="1"/>
  <c r="K41" i="6"/>
  <c r="L41" i="6" s="1"/>
  <c r="B27" i="9"/>
  <c r="I26" i="9"/>
  <c r="D25" i="9"/>
  <c r="C28" i="9"/>
  <c r="E29" i="9"/>
  <c r="D26" i="9"/>
  <c r="C29" i="9"/>
  <c r="Q64" i="6"/>
  <c r="N64" i="6"/>
  <c r="J17" i="6"/>
  <c r="M30" i="6"/>
  <c r="J30" i="6"/>
  <c r="L18" i="6"/>
  <c r="K31" i="6"/>
  <c r="L31" i="6" s="1"/>
  <c r="L68" i="6"/>
  <c r="Q68" i="6" s="1"/>
  <c r="N21" i="6"/>
  <c r="M38" i="6"/>
  <c r="J38" i="6"/>
  <c r="K39" i="6"/>
  <c r="L39" i="6" s="1"/>
  <c r="J9" i="6"/>
  <c r="I12" i="9" s="1"/>
  <c r="L17" i="6"/>
  <c r="L30" i="6"/>
  <c r="J13" i="9" s="1"/>
  <c r="Q50" i="6"/>
  <c r="Q24" i="6"/>
  <c r="N24" i="6"/>
  <c r="L6" i="6"/>
  <c r="N6" i="6" s="1"/>
  <c r="K7" i="6"/>
  <c r="L7" i="6" s="1"/>
  <c r="L14" i="6"/>
  <c r="Q14" i="6" s="1"/>
  <c r="K15" i="6"/>
  <c r="L15" i="6" s="1"/>
  <c r="Q16" i="6"/>
  <c r="N16" i="6"/>
  <c r="N44" i="6"/>
  <c r="Q44" i="6"/>
  <c r="D12" i="9"/>
  <c r="L38" i="6"/>
  <c r="L50" i="6"/>
  <c r="N50" i="6" s="1"/>
  <c r="Q61" i="6"/>
  <c r="I13" i="9"/>
  <c r="M70" i="6"/>
  <c r="J70" i="6"/>
  <c r="C15" i="9"/>
  <c r="J26" i="6"/>
  <c r="J65" i="6"/>
  <c r="Q67" i="6"/>
  <c r="K47" i="6"/>
  <c r="L47" i="6" s="1"/>
  <c r="C16" i="9"/>
  <c r="C24" i="9"/>
  <c r="K49" i="6"/>
  <c r="L49" i="6" s="1"/>
  <c r="M54" i="6"/>
  <c r="J54" i="6"/>
  <c r="L55" i="6"/>
  <c r="N55" i="6" s="1"/>
  <c r="K55" i="6"/>
  <c r="N60" i="6"/>
  <c r="Q60" i="6"/>
  <c r="N66" i="6"/>
  <c r="B18" i="9"/>
  <c r="K23" i="6"/>
  <c r="L23" i="6" s="1"/>
  <c r="L8" i="6"/>
  <c r="Q8" i="6" s="1"/>
  <c r="J25" i="6"/>
  <c r="L37" i="6"/>
  <c r="N61" i="6"/>
  <c r="J34" i="6"/>
  <c r="N37" i="6"/>
  <c r="L42" i="6"/>
  <c r="N10" i="6"/>
  <c r="K7" i="9"/>
  <c r="E6" i="9"/>
  <c r="D6" i="9"/>
  <c r="C6" i="9"/>
  <c r="B6" i="9"/>
  <c r="E7" i="9"/>
  <c r="D7" i="9"/>
  <c r="B7" i="9"/>
  <c r="C7" i="9"/>
  <c r="C5" i="9"/>
  <c r="B5" i="9"/>
  <c r="M22" i="6"/>
  <c r="K17" i="9" s="1"/>
  <c r="J22" i="6"/>
  <c r="N35" i="6"/>
  <c r="J41" i="6"/>
  <c r="L54" i="6"/>
  <c r="Q69" i="6"/>
  <c r="L2" i="6"/>
  <c r="C19" i="9"/>
  <c r="L34" i="6"/>
  <c r="V59" i="6"/>
  <c r="O59" i="6"/>
  <c r="K27" i="9"/>
  <c r="E16" i="9"/>
  <c r="D19" i="9"/>
  <c r="C26" i="9"/>
  <c r="B29" i="9"/>
  <c r="E19" i="9"/>
  <c r="M5" i="6"/>
  <c r="K12" i="9" s="1"/>
  <c r="M13" i="6"/>
  <c r="Q13" i="6" s="1"/>
  <c r="Q55" i="6"/>
  <c r="C12" i="9"/>
  <c r="B15" i="9"/>
  <c r="E26" i="9"/>
  <c r="D29" i="9"/>
  <c r="M40" i="6"/>
  <c r="M48" i="6"/>
  <c r="Q48" i="6" s="1"/>
  <c r="M56" i="6"/>
  <c r="Q56" i="6" s="1"/>
  <c r="E12" i="9"/>
  <c r="D15" i="9"/>
  <c r="C18" i="9"/>
  <c r="B25" i="9"/>
  <c r="K13" i="9"/>
  <c r="E15" i="9"/>
  <c r="D18" i="9"/>
  <c r="I19" i="9"/>
  <c r="C25" i="9"/>
  <c r="B28" i="9"/>
  <c r="B14" i="9"/>
  <c r="E25" i="9"/>
  <c r="J26" i="9"/>
  <c r="D28" i="9"/>
  <c r="F28" i="9" s="1"/>
  <c r="I29" i="9"/>
  <c r="E18" i="9"/>
  <c r="K57" i="6"/>
  <c r="L57" i="6" s="1"/>
  <c r="K65" i="6"/>
  <c r="L65" i="6" s="1"/>
  <c r="J29" i="9" s="1"/>
  <c r="C14" i="9"/>
  <c r="B17" i="9"/>
  <c r="E28" i="9"/>
  <c r="D14" i="9"/>
  <c r="I15" i="9"/>
  <c r="C17" i="9"/>
  <c r="B24" i="9"/>
  <c r="K29" i="9"/>
  <c r="K15" i="9"/>
  <c r="E17" i="9"/>
  <c r="I25" i="9"/>
  <c r="C27" i="9"/>
  <c r="B13" i="9"/>
  <c r="E24" i="9"/>
  <c r="D27" i="9"/>
  <c r="C13" i="9"/>
  <c r="B16" i="9"/>
  <c r="K25" i="9"/>
  <c r="E27" i="9"/>
  <c r="E13" i="9"/>
  <c r="I17" i="9"/>
  <c r="B26" i="9"/>
  <c r="N43" i="6" l="1"/>
  <c r="Q43" i="6"/>
  <c r="T43" i="6" s="1"/>
  <c r="Q27" i="6"/>
  <c r="T27" i="6" s="1"/>
  <c r="N27" i="6"/>
  <c r="N47" i="6"/>
  <c r="Q47" i="6"/>
  <c r="O69" i="6"/>
  <c r="V69" i="6"/>
  <c r="N39" i="6"/>
  <c r="Q39" i="6"/>
  <c r="V67" i="6"/>
  <c r="O67" i="6"/>
  <c r="K19" i="9"/>
  <c r="Q40" i="6"/>
  <c r="T40" i="6" s="1"/>
  <c r="F29" i="9"/>
  <c r="K14" i="9"/>
  <c r="N29" i="6"/>
  <c r="N42" i="6"/>
  <c r="U59" i="6"/>
  <c r="I6" i="9"/>
  <c r="N14" i="6"/>
  <c r="N5" i="6"/>
  <c r="K6" i="9"/>
  <c r="K28" i="9"/>
  <c r="Q21" i="6"/>
  <c r="T21" i="6" s="1"/>
  <c r="K26" i="9"/>
  <c r="N33" i="6"/>
  <c r="J6" i="9"/>
  <c r="Q45" i="6"/>
  <c r="T45" i="6" s="1"/>
  <c r="J27" i="9"/>
  <c r="Q19" i="6"/>
  <c r="T19" i="6" s="1"/>
  <c r="I28" i="9"/>
  <c r="K18" i="9"/>
  <c r="J5" i="9"/>
  <c r="Q37" i="6"/>
  <c r="Q20" i="6"/>
  <c r="K5" i="9"/>
  <c r="Q33" i="6"/>
  <c r="Q5" i="6"/>
  <c r="Q11" i="6"/>
  <c r="Q28" i="6"/>
  <c r="J15" i="9"/>
  <c r="N51" i="6"/>
  <c r="V51" i="6" s="1"/>
  <c r="Q58" i="6"/>
  <c r="T58" i="6" s="1"/>
  <c r="I14" i="9"/>
  <c r="Q6" i="6"/>
  <c r="T6" i="6" s="1"/>
  <c r="N53" i="6"/>
  <c r="F6" i="9"/>
  <c r="F14" i="9"/>
  <c r="F27" i="9"/>
  <c r="T37" i="6"/>
  <c r="T68" i="6"/>
  <c r="O33" i="6"/>
  <c r="V33" i="6"/>
  <c r="N7" i="6"/>
  <c r="J28" i="9"/>
  <c r="Q7" i="6"/>
  <c r="J14" i="9"/>
  <c r="N31" i="6"/>
  <c r="Q31" i="6"/>
  <c r="N23" i="6"/>
  <c r="Q23" i="6"/>
  <c r="J25" i="9"/>
  <c r="V39" i="6"/>
  <c r="O39" i="6"/>
  <c r="T13" i="6"/>
  <c r="J7" i="9"/>
  <c r="J17" i="9"/>
  <c r="Q49" i="6"/>
  <c r="N49" i="6"/>
  <c r="N57" i="6"/>
  <c r="J19" i="9"/>
  <c r="Q57" i="6"/>
  <c r="Q63" i="6"/>
  <c r="N63" i="6"/>
  <c r="T56" i="6"/>
  <c r="T48" i="6"/>
  <c r="T8" i="6"/>
  <c r="J18" i="9"/>
  <c r="N15" i="6"/>
  <c r="Q15" i="6"/>
  <c r="L26" i="9"/>
  <c r="V29" i="6"/>
  <c r="O29" i="6"/>
  <c r="U29" i="6" s="1"/>
  <c r="F12" i="9"/>
  <c r="T24" i="6"/>
  <c r="V21" i="6"/>
  <c r="O21" i="6"/>
  <c r="U21" i="6" s="1"/>
  <c r="L28" i="9"/>
  <c r="N68" i="6"/>
  <c r="V12" i="6"/>
  <c r="O12" i="6"/>
  <c r="U12" i="6" s="1"/>
  <c r="L19" i="9"/>
  <c r="N8" i="6"/>
  <c r="Q26" i="6"/>
  <c r="N26" i="6"/>
  <c r="F25" i="9"/>
  <c r="N58" i="6"/>
  <c r="L13" i="9"/>
  <c r="L12" i="9"/>
  <c r="F19" i="9"/>
  <c r="O10" i="6"/>
  <c r="U10" i="6" s="1"/>
  <c r="V10" i="6"/>
  <c r="T5" i="6"/>
  <c r="V14" i="6"/>
  <c r="O14" i="6"/>
  <c r="V53" i="6"/>
  <c r="O53" i="6"/>
  <c r="F13" i="9"/>
  <c r="Q53" i="6"/>
  <c r="V19" i="6"/>
  <c r="O19" i="6"/>
  <c r="T47" i="6"/>
  <c r="Q70" i="6"/>
  <c r="N70" i="6"/>
  <c r="V28" i="6"/>
  <c r="O28" i="6"/>
  <c r="J12" i="9"/>
  <c r="F15" i="9"/>
  <c r="T39" i="6"/>
  <c r="T69" i="6"/>
  <c r="U69" i="6" s="1"/>
  <c r="V37" i="6"/>
  <c r="O37" i="6"/>
  <c r="U37" i="6" s="1"/>
  <c r="V16" i="6"/>
  <c r="O16" i="6"/>
  <c r="Q18" i="6"/>
  <c r="N18" i="6"/>
  <c r="V11" i="6"/>
  <c r="O11" i="6"/>
  <c r="T52" i="6"/>
  <c r="L7" i="9"/>
  <c r="F7" i="9"/>
  <c r="Q34" i="6"/>
  <c r="N34" i="6"/>
  <c r="T16" i="6"/>
  <c r="Q30" i="6"/>
  <c r="N30" i="6"/>
  <c r="K16" i="9"/>
  <c r="L17" i="9"/>
  <c r="T44" i="6"/>
  <c r="O51" i="6"/>
  <c r="U51" i="6" s="1"/>
  <c r="V20" i="6"/>
  <c r="O20" i="6"/>
  <c r="T3" i="6"/>
  <c r="T4" i="6"/>
  <c r="V35" i="6"/>
  <c r="O35" i="6"/>
  <c r="U35" i="6" s="1"/>
  <c r="V66" i="6"/>
  <c r="O66" i="6"/>
  <c r="U66" i="6" s="1"/>
  <c r="L24" i="9"/>
  <c r="T61" i="6"/>
  <c r="N9" i="6"/>
  <c r="Q9" i="6"/>
  <c r="N17" i="6"/>
  <c r="Q17" i="6"/>
  <c r="Q46" i="6"/>
  <c r="N46" i="6"/>
  <c r="V3" i="6"/>
  <c r="O3" i="6"/>
  <c r="N40" i="6"/>
  <c r="V4" i="6"/>
  <c r="O4" i="6"/>
  <c r="V6" i="6"/>
  <c r="O6" i="6"/>
  <c r="T20" i="6"/>
  <c r="V5" i="6"/>
  <c r="O5" i="6"/>
  <c r="T28" i="6"/>
  <c r="V42" i="6"/>
  <c r="O42" i="6"/>
  <c r="T11" i="6"/>
  <c r="N41" i="6"/>
  <c r="Q41" i="6"/>
  <c r="L27" i="9"/>
  <c r="N48" i="6"/>
  <c r="Q22" i="6"/>
  <c r="N22" i="6"/>
  <c r="T60" i="6"/>
  <c r="L16" i="9"/>
  <c r="V50" i="6"/>
  <c r="O50" i="6"/>
  <c r="U50" i="6" s="1"/>
  <c r="V64" i="6"/>
  <c r="O64" i="6"/>
  <c r="U64" i="6" s="1"/>
  <c r="Q62" i="6"/>
  <c r="N62" i="6"/>
  <c r="T55" i="6"/>
  <c r="V60" i="6"/>
  <c r="O60" i="6"/>
  <c r="V45" i="6"/>
  <c r="O45" i="6"/>
  <c r="T64" i="6"/>
  <c r="N56" i="6"/>
  <c r="L18" i="9"/>
  <c r="L14" i="9"/>
  <c r="L25" i="9"/>
  <c r="L6" i="9"/>
  <c r="V61" i="6"/>
  <c r="O61" i="6"/>
  <c r="Q38" i="6"/>
  <c r="N38" i="6"/>
  <c r="L29" i="9"/>
  <c r="V47" i="6"/>
  <c r="O47" i="6"/>
  <c r="U47" i="6" s="1"/>
  <c r="Q42" i="6"/>
  <c r="T50" i="6"/>
  <c r="V55" i="6"/>
  <c r="O55" i="6"/>
  <c r="U55" i="6" s="1"/>
  <c r="F26" i="9"/>
  <c r="T36" i="6"/>
  <c r="N13" i="6"/>
  <c r="L15" i="9"/>
  <c r="V52" i="6"/>
  <c r="O52" i="6"/>
  <c r="U52" i="6" s="1"/>
  <c r="V44" i="6"/>
  <c r="O44" i="6"/>
  <c r="F18" i="9"/>
  <c r="L5" i="9"/>
  <c r="I7" i="9"/>
  <c r="Q54" i="6"/>
  <c r="N54" i="6"/>
  <c r="T67" i="6"/>
  <c r="U67" i="6" s="1"/>
  <c r="T14" i="6"/>
  <c r="I27" i="9"/>
  <c r="I18" i="9"/>
  <c r="V36" i="6"/>
  <c r="O36" i="6"/>
  <c r="V32" i="6"/>
  <c r="O32" i="6"/>
  <c r="J24" i="9"/>
  <c r="T33" i="6"/>
  <c r="J16" i="9"/>
  <c r="N25" i="6"/>
  <c r="G26" i="9" s="1"/>
  <c r="Q25" i="6"/>
  <c r="N65" i="6"/>
  <c r="Q65" i="6"/>
  <c r="V24" i="6"/>
  <c r="O24" i="6"/>
  <c r="U24" i="6" s="1"/>
  <c r="F17" i="9"/>
  <c r="T12" i="6"/>
  <c r="T32" i="6"/>
  <c r="U4" i="6" l="1"/>
  <c r="U45" i="6"/>
  <c r="U20" i="6"/>
  <c r="U19" i="6"/>
  <c r="V27" i="6"/>
  <c r="O27" i="6"/>
  <c r="U27" i="6" s="1"/>
  <c r="G19" i="9"/>
  <c r="U6" i="6"/>
  <c r="U5" i="6"/>
  <c r="V43" i="6"/>
  <c r="O43" i="6"/>
  <c r="U43" i="6" s="1"/>
  <c r="U3" i="6"/>
  <c r="T31" i="6"/>
  <c r="H26" i="9"/>
  <c r="O57" i="6"/>
  <c r="V57" i="6"/>
  <c r="H19" i="9" s="1"/>
  <c r="V31" i="6"/>
  <c r="O31" i="6"/>
  <c r="U31" i="6" s="1"/>
  <c r="O34" i="6"/>
  <c r="V34" i="6"/>
  <c r="O49" i="6"/>
  <c r="V49" i="6"/>
  <c r="V15" i="6"/>
  <c r="O15" i="6"/>
  <c r="G18" i="9"/>
  <c r="T62" i="6"/>
  <c r="V13" i="6"/>
  <c r="O13" i="6"/>
  <c r="U13" i="6" s="1"/>
  <c r="T38" i="6"/>
  <c r="U33" i="6"/>
  <c r="V40" i="6"/>
  <c r="O40" i="6"/>
  <c r="U40" i="6" s="1"/>
  <c r="O25" i="6"/>
  <c r="V25" i="6"/>
  <c r="O54" i="6"/>
  <c r="U54" i="6" s="1"/>
  <c r="V54" i="6"/>
  <c r="U61" i="6"/>
  <c r="V56" i="6"/>
  <c r="O56" i="6"/>
  <c r="U56" i="6" s="1"/>
  <c r="T34" i="6"/>
  <c r="T54" i="6"/>
  <c r="U60" i="6"/>
  <c r="U39" i="6"/>
  <c r="T42" i="6"/>
  <c r="U42" i="6" s="1"/>
  <c r="T49" i="6"/>
  <c r="T65" i="6"/>
  <c r="V46" i="6"/>
  <c r="O46" i="6"/>
  <c r="U11" i="6"/>
  <c r="U14" i="6"/>
  <c r="V58" i="6"/>
  <c r="O58" i="6"/>
  <c r="U58" i="6" s="1"/>
  <c r="T41" i="6"/>
  <c r="O41" i="6"/>
  <c r="U41" i="6" s="1"/>
  <c r="V41" i="6"/>
  <c r="T15" i="6"/>
  <c r="V7" i="6"/>
  <c r="O7" i="6"/>
  <c r="G28" i="9"/>
  <c r="G14" i="9"/>
  <c r="T25" i="6"/>
  <c r="T46" i="6"/>
  <c r="U28" i="6"/>
  <c r="G12" i="9"/>
  <c r="O68" i="6"/>
  <c r="U68" i="6" s="1"/>
  <c r="V68" i="6"/>
  <c r="V38" i="6"/>
  <c r="H15" i="9" s="1"/>
  <c r="O38" i="6"/>
  <c r="U38" i="6" s="1"/>
  <c r="G15" i="9"/>
  <c r="V22" i="6"/>
  <c r="O22" i="6"/>
  <c r="U22" i="6" s="1"/>
  <c r="G7" i="9"/>
  <c r="G17" i="9"/>
  <c r="T17" i="6"/>
  <c r="O18" i="6"/>
  <c r="U18" i="6" s="1"/>
  <c r="V18" i="6"/>
  <c r="H27" i="9" s="1"/>
  <c r="G27" i="9"/>
  <c r="G6" i="9"/>
  <c r="T22" i="6"/>
  <c r="O17" i="6"/>
  <c r="U17" i="6" s="1"/>
  <c r="V17" i="6"/>
  <c r="T18" i="6"/>
  <c r="O26" i="6"/>
  <c r="V26" i="6"/>
  <c r="V63" i="6"/>
  <c r="O63" i="6"/>
  <c r="U32" i="6"/>
  <c r="V48" i="6"/>
  <c r="O48" i="6"/>
  <c r="U48" i="6" s="1"/>
  <c r="T9" i="6"/>
  <c r="V30" i="6"/>
  <c r="H13" i="9" s="1"/>
  <c r="O30" i="6"/>
  <c r="G13" i="9"/>
  <c r="U16" i="6"/>
  <c r="V70" i="6"/>
  <c r="O70" i="6"/>
  <c r="T26" i="6"/>
  <c r="T63" i="6"/>
  <c r="T23" i="6"/>
  <c r="T7" i="6"/>
  <c r="O65" i="6"/>
  <c r="U65" i="6" s="1"/>
  <c r="V65" i="6"/>
  <c r="H29" i="9" s="1"/>
  <c r="T53" i="6"/>
  <c r="U53" i="6" s="1"/>
  <c r="U44" i="6"/>
  <c r="U36" i="6"/>
  <c r="V62" i="6"/>
  <c r="O62" i="6"/>
  <c r="G29" i="9"/>
  <c r="O9" i="6"/>
  <c r="V9" i="6"/>
  <c r="T30" i="6"/>
  <c r="T70" i="6"/>
  <c r="V8" i="6"/>
  <c r="H12" i="9" s="1"/>
  <c r="O8" i="6"/>
  <c r="U8" i="6" s="1"/>
  <c r="T57" i="6"/>
  <c r="V23" i="6"/>
  <c r="H25" i="9" s="1"/>
  <c r="O23" i="6"/>
  <c r="G25" i="9"/>
  <c r="U26" i="6" l="1"/>
  <c r="U46" i="6"/>
  <c r="U9" i="6"/>
  <c r="U25" i="6"/>
  <c r="H7" i="9"/>
  <c r="U62" i="6"/>
  <c r="U7" i="6"/>
  <c r="U15" i="6"/>
  <c r="H14" i="9"/>
  <c r="H28" i="9"/>
  <c r="H18" i="9"/>
  <c r="U57" i="6"/>
  <c r="U70" i="6"/>
  <c r="U49" i="6"/>
  <c r="U23" i="6"/>
  <c r="H17" i="9"/>
  <c r="U63" i="6"/>
  <c r="H6" i="9"/>
  <c r="U30" i="6"/>
  <c r="U34" i="6"/>
  <c r="G2" i="6"/>
  <c r="D24" i="9" l="1"/>
  <c r="F24" i="9" s="1"/>
  <c r="D16" i="9"/>
  <c r="F16" i="9" s="1"/>
  <c r="D5" i="9"/>
  <c r="F5" i="9" s="1"/>
  <c r="J2" i="6"/>
  <c r="I24" i="9" l="1"/>
  <c r="I16" i="9"/>
  <c r="I5" i="9"/>
  <c r="Q2" i="6"/>
  <c r="N2" i="6"/>
  <c r="P14" i="6" l="1"/>
  <c r="P24" i="6"/>
  <c r="P6" i="6"/>
  <c r="P61" i="6"/>
  <c r="P40" i="6"/>
  <c r="P58" i="6"/>
  <c r="P52" i="6"/>
  <c r="P55" i="6"/>
  <c r="P60" i="6"/>
  <c r="P43" i="6"/>
  <c r="P32" i="6"/>
  <c r="P37" i="6"/>
  <c r="P48" i="6"/>
  <c r="P42" i="6"/>
  <c r="P20" i="6"/>
  <c r="P64" i="6"/>
  <c r="P34" i="6"/>
  <c r="P25" i="6"/>
  <c r="P67" i="6"/>
  <c r="P65" i="6"/>
  <c r="P35" i="6"/>
  <c r="P36" i="6"/>
  <c r="P19" i="6"/>
  <c r="P13" i="6"/>
  <c r="P50" i="6"/>
  <c r="P41" i="6"/>
  <c r="P22" i="6"/>
  <c r="G5" i="9"/>
  <c r="P49" i="6"/>
  <c r="P27" i="6"/>
  <c r="P9" i="6"/>
  <c r="P30" i="6"/>
  <c r="P12" i="6"/>
  <c r="P54" i="6"/>
  <c r="P17" i="6"/>
  <c r="G16" i="9"/>
  <c r="P16" i="6"/>
  <c r="P45" i="6"/>
  <c r="P69" i="6"/>
  <c r="P63" i="6"/>
  <c r="P66" i="6"/>
  <c r="P39" i="6"/>
  <c r="O2" i="6"/>
  <c r="P47" i="6"/>
  <c r="P23" i="6"/>
  <c r="P51" i="6"/>
  <c r="P3" i="6"/>
  <c r="P46" i="6"/>
  <c r="P68" i="6"/>
  <c r="P5" i="6"/>
  <c r="P10" i="6"/>
  <c r="P26" i="6"/>
  <c r="P29" i="6"/>
  <c r="P33" i="6"/>
  <c r="P2" i="6"/>
  <c r="P56" i="6"/>
  <c r="P59" i="6"/>
  <c r="P57" i="6"/>
  <c r="P53" i="6"/>
  <c r="P11" i="6"/>
  <c r="P7" i="6"/>
  <c r="P28" i="6"/>
  <c r="P4" i="6"/>
  <c r="P8" i="6"/>
  <c r="P70" i="6"/>
  <c r="V2" i="6"/>
  <c r="P62" i="6"/>
  <c r="P15" i="6"/>
  <c r="P21" i="6"/>
  <c r="P38" i="6"/>
  <c r="G24" i="9"/>
  <c r="P18" i="6"/>
  <c r="P31" i="6"/>
  <c r="P44" i="6"/>
  <c r="R37" i="6"/>
  <c r="R11" i="6"/>
  <c r="S11" i="6" s="1"/>
  <c r="R5" i="6"/>
  <c r="R49" i="6"/>
  <c r="S49" i="6" s="1"/>
  <c r="R41" i="6"/>
  <c r="S41" i="6" s="1"/>
  <c r="R46" i="6"/>
  <c r="R63" i="6"/>
  <c r="R29" i="6"/>
  <c r="S29" i="6" s="1"/>
  <c r="R10" i="6"/>
  <c r="S10" i="6" s="1"/>
  <c r="R7" i="6"/>
  <c r="R28" i="6"/>
  <c r="R17" i="6"/>
  <c r="S17" i="6" s="1"/>
  <c r="R26" i="6"/>
  <c r="S26" i="6" s="1"/>
  <c r="R34" i="6"/>
  <c r="S34" i="6" s="1"/>
  <c r="R55" i="6"/>
  <c r="S55" i="6" s="1"/>
  <c r="R30" i="6"/>
  <c r="R70" i="6"/>
  <c r="S70" i="6" s="1"/>
  <c r="R48" i="6"/>
  <c r="R13" i="6"/>
  <c r="S13" i="6" s="1"/>
  <c r="R65" i="6"/>
  <c r="S65" i="6" s="1"/>
  <c r="R24" i="6"/>
  <c r="S24" i="6" s="1"/>
  <c r="R12" i="6"/>
  <c r="S12" i="6" s="1"/>
  <c r="R23" i="6"/>
  <c r="R32" i="6"/>
  <c r="S32" i="6" s="1"/>
  <c r="R33" i="6"/>
  <c r="S33" i="6" s="1"/>
  <c r="R36" i="6"/>
  <c r="S36" i="6" s="1"/>
  <c r="R56" i="6"/>
  <c r="S56" i="6" s="1"/>
  <c r="R22" i="6"/>
  <c r="S22" i="6" s="1"/>
  <c r="R50" i="6"/>
  <c r="S50" i="6" s="1"/>
  <c r="T2" i="6"/>
  <c r="R8" i="6"/>
  <c r="R42" i="6"/>
  <c r="R61" i="6"/>
  <c r="R16" i="6"/>
  <c r="S16" i="6" s="1"/>
  <c r="R38" i="6"/>
  <c r="S38" i="6" s="1"/>
  <c r="R69" i="6"/>
  <c r="S69" i="6" s="1"/>
  <c r="R40" i="6"/>
  <c r="S40" i="6" s="1"/>
  <c r="R6" i="6"/>
  <c r="S6" i="6" s="1"/>
  <c r="R18" i="6"/>
  <c r="R27" i="6"/>
  <c r="R47" i="6"/>
  <c r="R54" i="6"/>
  <c r="S54" i="6" s="1"/>
  <c r="R67" i="6"/>
  <c r="S67" i="6" s="1"/>
  <c r="R51" i="6"/>
  <c r="R62" i="6"/>
  <c r="S62" i="6" s="1"/>
  <c r="R66" i="6"/>
  <c r="S66" i="6" s="1"/>
  <c r="R44" i="6"/>
  <c r="S44" i="6" s="1"/>
  <c r="R15" i="6"/>
  <c r="S15" i="6" s="1"/>
  <c r="R64" i="6"/>
  <c r="R59" i="6"/>
  <c r="S59" i="6" s="1"/>
  <c r="R53" i="6"/>
  <c r="S53" i="6" s="1"/>
  <c r="R45" i="6"/>
  <c r="S45" i="6" s="1"/>
  <c r="R31" i="6"/>
  <c r="S31" i="6" s="1"/>
  <c r="R60" i="6"/>
  <c r="S60" i="6" s="1"/>
  <c r="R14" i="6"/>
  <c r="S14" i="6" s="1"/>
  <c r="R20" i="6"/>
  <c r="R2" i="6"/>
  <c r="S2" i="6" s="1"/>
  <c r="R9" i="6"/>
  <c r="R57" i="6"/>
  <c r="S57" i="6" s="1"/>
  <c r="R21" i="6"/>
  <c r="S21" i="6" s="1"/>
  <c r="R68" i="6"/>
  <c r="S68" i="6" s="1"/>
  <c r="R52" i="6"/>
  <c r="S52" i="6" s="1"/>
  <c r="R43" i="6"/>
  <c r="S43" i="6" s="1"/>
  <c r="R39" i="6"/>
  <c r="S39" i="6" s="1"/>
  <c r="R19" i="6"/>
  <c r="S19" i="6" s="1"/>
  <c r="R4" i="6"/>
  <c r="R3" i="6"/>
  <c r="S3" i="6" s="1"/>
  <c r="R35" i="6"/>
  <c r="S35" i="6" s="1"/>
  <c r="R58" i="6"/>
  <c r="S58" i="6" s="1"/>
  <c r="R25" i="6"/>
  <c r="S25" i="6" s="1"/>
  <c r="S37" i="6" l="1"/>
  <c r="U2" i="6"/>
  <c r="S46" i="6"/>
  <c r="S42" i="6"/>
  <c r="S30" i="6"/>
  <c r="S8" i="6"/>
  <c r="S4" i="6"/>
  <c r="S51" i="6"/>
  <c r="S48" i="6"/>
  <c r="S28" i="6"/>
  <c r="S64" i="6"/>
  <c r="S7" i="6"/>
  <c r="S61" i="6"/>
  <c r="S47" i="6"/>
  <c r="S20" i="6"/>
  <c r="S27" i="6"/>
  <c r="H16" i="9"/>
  <c r="H5" i="9"/>
  <c r="H24" i="9"/>
  <c r="S5" i="6"/>
  <c r="S9" i="6"/>
  <c r="S18" i="6"/>
  <c r="S23" i="6"/>
  <c r="S63" i="6"/>
</calcChain>
</file>

<file path=xl/sharedStrings.xml><?xml version="1.0" encoding="utf-8"?>
<sst xmlns="http://schemas.openxmlformats.org/spreadsheetml/2006/main" count="550" uniqueCount="226">
  <si>
    <t>ID</t>
  </si>
  <si>
    <t>Instituição</t>
  </si>
  <si>
    <t>Esfera</t>
  </si>
  <si>
    <t>Tipo de entidade</t>
  </si>
  <si>
    <t>Região (abrangência)</t>
  </si>
  <si>
    <t>Total</t>
  </si>
  <si>
    <t>Publicados</t>
  </si>
  <si>
    <t>Pendentes</t>
  </si>
  <si>
    <t>Última atualização</t>
  </si>
  <si>
    <t>REG-01</t>
  </si>
  <si>
    <t>Agência Nacional de Transportes Terrestres</t>
  </si>
  <si>
    <t>Nacional</t>
  </si>
  <si>
    <t>Autarquia</t>
  </si>
  <si>
    <t>REG-02</t>
  </si>
  <si>
    <t>ANA - Agência Nacional de Águas e Saneamento Básico</t>
  </si>
  <si>
    <t>REG-03</t>
  </si>
  <si>
    <t>ANATEL - Agência Nacional de Telecomunicações</t>
  </si>
  <si>
    <t>REG-04</t>
  </si>
  <si>
    <t>ANM - Agência Nacional de Mineração</t>
  </si>
  <si>
    <t>REG-05</t>
  </si>
  <si>
    <t>ANP - Agência Nacional do Petróleo, Gás Natural e Biocombustíveis</t>
  </si>
  <si>
    <t>REG-06</t>
  </si>
  <si>
    <t>BNDES - Banco Nacional do Desenvolvimento Econômico e Social</t>
  </si>
  <si>
    <t>Empresa Pública</t>
  </si>
  <si>
    <t>REG-07</t>
  </si>
  <si>
    <t>Censipam - Centro Gestor e Operacional do Sistema de Proteção da Amazônia</t>
  </si>
  <si>
    <t>Órgão do Governo</t>
  </si>
  <si>
    <t>Norte</t>
  </si>
  <si>
    <t>REG-08</t>
  </si>
  <si>
    <t>Centro Estadual de Pesquisas em Sensoriamento Remoto e Meteorologia (RS)</t>
  </si>
  <si>
    <t>Academia</t>
  </si>
  <si>
    <t>Sul</t>
  </si>
  <si>
    <t>REG-09</t>
  </si>
  <si>
    <t>Comando de Operações Aeroespaciais</t>
  </si>
  <si>
    <t>Organização Militar</t>
  </si>
  <si>
    <t>REG-10</t>
  </si>
  <si>
    <t>CPRM - Serviço Geológico do Brasil</t>
  </si>
  <si>
    <t>REG-11</t>
  </si>
  <si>
    <t>DNIT - Departamento Nacional de Infraestrutura de Transportes</t>
  </si>
  <si>
    <t>REG-12</t>
  </si>
  <si>
    <t>EB/DSG - Diretoria de Serviço Geográfico do Exército Brasileiro</t>
  </si>
  <si>
    <t>REG-13</t>
  </si>
  <si>
    <t>EMBRAPA - Empresa Brasileira de Pesquisa Agropecuária</t>
  </si>
  <si>
    <t>REG-14</t>
  </si>
  <si>
    <t>Empresa Teresinense de Processamento de Dados</t>
  </si>
  <si>
    <t>Municipal</t>
  </si>
  <si>
    <t>Nordeste</t>
  </si>
  <si>
    <t>REG-15</t>
  </si>
  <si>
    <t>EPE - Empresa de Pesquisa Energética</t>
  </si>
  <si>
    <t>REG-16</t>
  </si>
  <si>
    <t>Fundação João Pinheiro (MG)</t>
  </si>
  <si>
    <t>Sudeste</t>
  </si>
  <si>
    <t>REG-17</t>
  </si>
  <si>
    <t>Fundação Nacional dos Povos Indígenas</t>
  </si>
  <si>
    <t>REG-18</t>
  </si>
  <si>
    <t>Governo do Distrito Federal</t>
  </si>
  <si>
    <t>REG-19</t>
  </si>
  <si>
    <t>IBAMA - Instituto Brasileiro do Meio Ambiente e dos Recursos Naturais Renováveis</t>
  </si>
  <si>
    <t>REG-20</t>
  </si>
  <si>
    <t>IBGE - Instituto Brasileiro de Geografia e Estatística</t>
  </si>
  <si>
    <t>REG-21</t>
  </si>
  <si>
    <t>ICA - Instituto de Cartografia da Aeronáutica</t>
  </si>
  <si>
    <t>REG-22</t>
  </si>
  <si>
    <t>ICMBio - Instituto Chico Mendes de Conservação da Biodiversidade</t>
  </si>
  <si>
    <t>REG-23</t>
  </si>
  <si>
    <t>IDE-BA - Infraestrutura de Dados Espaciais do Estado da Bahia</t>
  </si>
  <si>
    <t>Infraestrutura de Dados Espaciais (IDE)</t>
  </si>
  <si>
    <t>REG-24</t>
  </si>
  <si>
    <t>IDE-ES/GEOBASES - Sistema Integrado de Bases Geoespaciais do Estado do Espírito Santo</t>
  </si>
  <si>
    <t>REG-25</t>
  </si>
  <si>
    <t>IDE-SEFIN - Secretaria Municipal das Finanças de Fortaleza (CE)</t>
  </si>
  <si>
    <t>REG-26</t>
  </si>
  <si>
    <t>IDE-Sisema - Infraestrutura de Dados Espaciais do Sistema Estadual de Meio Ambiente e Recursos Hídricos de Minas Gerais</t>
  </si>
  <si>
    <t>REG-27</t>
  </si>
  <si>
    <t>IDE-SP - Infraestrutura de Dados Espaciais do Estado de São Paulo</t>
  </si>
  <si>
    <t>REG-28</t>
  </si>
  <si>
    <t>IEDE-RS - Infraestrutura Estadual de Dados Espaciais do Rio Grande do Sul</t>
  </si>
  <si>
    <t>REG-29</t>
  </si>
  <si>
    <t>IFPI - Instituto Federal  do Piauí / Campus Teresina</t>
  </si>
  <si>
    <t>REG-30</t>
  </si>
  <si>
    <t>INEA - Instituto Estadual do Ambiente (RJ)</t>
  </si>
  <si>
    <t>REG-31</t>
  </si>
  <si>
    <t>INPE - Instituto Nacional de Pesquisas Espaciais</t>
  </si>
  <si>
    <t>REG-32</t>
  </si>
  <si>
    <t>INSA - Instituto Nacional do Semiárido</t>
  </si>
  <si>
    <t>REG-33</t>
  </si>
  <si>
    <t>MAPA - Ministério da Agricultura e Pecuária</t>
  </si>
  <si>
    <t>REG-34</t>
  </si>
  <si>
    <t>MB/COMPAAz - Comando de Operações Marítimas e Proteção da Amazônia Azul</t>
  </si>
  <si>
    <t>MB/DHN - Diretoria de Hidrografia e Navegação</t>
  </si>
  <si>
    <t>REG-37</t>
  </si>
  <si>
    <t>MB/DPHDM - Diretoria do Patrimônio Histórico e Documentação da Marinha</t>
  </si>
  <si>
    <t>REG-38</t>
  </si>
  <si>
    <t>MDA - Ministério do Desenvolvimento Agrário e Agricultura Familiar</t>
  </si>
  <si>
    <t>REG-39</t>
  </si>
  <si>
    <t>MDIC - Ministério do Desenvolvimento, Indústria, Comércio e Serviços</t>
  </si>
  <si>
    <t>REG-40</t>
  </si>
  <si>
    <t>MDS - Ministério do Desenvolvimento e Assistência Social, Família e Combate à Fome</t>
  </si>
  <si>
    <t>REG-41</t>
  </si>
  <si>
    <t>Ministério de Portos e Aeroportos</t>
  </si>
  <si>
    <t>REG-42</t>
  </si>
  <si>
    <t>MMA - Ministério do Meio Ambiente e Mudança do Clima</t>
  </si>
  <si>
    <t>MP - Ministério do Planejamento e Orçamento</t>
  </si>
  <si>
    <t>REG-45</t>
  </si>
  <si>
    <t>MPA - Ministério da Pesca e Aquicultura</t>
  </si>
  <si>
    <t>REG-46</t>
  </si>
  <si>
    <t>MS - Ministério da Saúde</t>
  </si>
  <si>
    <t>REG-47</t>
  </si>
  <si>
    <t>MTR - Ministério dos Transportes</t>
  </si>
  <si>
    <t>REG-48</t>
  </si>
  <si>
    <t>MTU - Ministério do Turismo</t>
  </si>
  <si>
    <t>REG-49</t>
  </si>
  <si>
    <t>PGGM - Programa de Geologia e Geofísica Marinha</t>
  </si>
  <si>
    <t>REG-50</t>
  </si>
  <si>
    <t>Prefeitura de Belo Horizonte (MG)</t>
  </si>
  <si>
    <t>Prefeitura</t>
  </si>
  <si>
    <t>REG-51</t>
  </si>
  <si>
    <t>Prefeitura de Cabo Frio (RJ)</t>
  </si>
  <si>
    <t>REG-52</t>
  </si>
  <si>
    <t>Prefeitura de Juazeiro do Norte (CE)</t>
  </si>
  <si>
    <t>REG-53</t>
  </si>
  <si>
    <t>Prefeitura de Paracambi (RJ)</t>
  </si>
  <si>
    <t>REG-54</t>
  </si>
  <si>
    <t>Prefeitura do Município de São Paulo (SP)</t>
  </si>
  <si>
    <t>REG-55</t>
  </si>
  <si>
    <t>Prefeitura Municipal de Aracaju (SE)</t>
  </si>
  <si>
    <t>REG-56</t>
  </si>
  <si>
    <t>Prefeitura Municipal de Nova Lima (MG)</t>
  </si>
  <si>
    <t>REG-57</t>
  </si>
  <si>
    <t>Prefeitura Municipal de Santo André (SP)</t>
  </si>
  <si>
    <t>REG-58</t>
  </si>
  <si>
    <t>PRODEMGE - Companhia de Tecnologia da Informação do Estado de Minas Gerais</t>
  </si>
  <si>
    <t>REG-59</t>
  </si>
  <si>
    <t>Secretaria do Patrimônio da União</t>
  </si>
  <si>
    <t>REG-60</t>
  </si>
  <si>
    <t>Secretaria Municipal da Fazenda de Salvador (BA)</t>
  </si>
  <si>
    <t>REG-61</t>
  </si>
  <si>
    <t>SEMA-DF - Secretaria de Estado do Meio Ambiente do Distrito Federal</t>
  </si>
  <si>
    <t>Centro Oeste</t>
  </si>
  <si>
    <t>REG-62</t>
  </si>
  <si>
    <t>SEMA/CE - Secretaria do Meio Ambiente e Mudança do Clima do Estado do Ceará</t>
  </si>
  <si>
    <t>REG-63</t>
  </si>
  <si>
    <t>SEMACE/CE - Superintendência Estadual do Meio Ambiente do Ceará</t>
  </si>
  <si>
    <t>REG-64</t>
  </si>
  <si>
    <t>Seplag/AL - Secretaria de Estado do Planejamento, Gestão e Patrimônio de Alagoas</t>
  </si>
  <si>
    <t>REG-65</t>
  </si>
  <si>
    <t>SEPLAG/MT - Secretaria de Estado de Planejamento e Gestão de Mato Grosso</t>
  </si>
  <si>
    <t>REG-66</t>
  </si>
  <si>
    <t>Seplan/TO - Secretaria do Planejamento e Orçamento do Estado do Tocantins</t>
  </si>
  <si>
    <t>REG-67</t>
  </si>
  <si>
    <t>SPM - Secretaria de Políticas para as Mulheres</t>
  </si>
  <si>
    <t>REG-68</t>
  </si>
  <si>
    <t>UFABC - Universidade Federal do ABC</t>
  </si>
  <si>
    <t>REG-69</t>
  </si>
  <si>
    <t>UNB - Fundação Universidade de Brasília / Instituto de Geociências</t>
  </si>
  <si>
    <t>REG-70</t>
  </si>
  <si>
    <t>UNILA - Universidade Federal da Integração Latino-Americana</t>
  </si>
  <si>
    <t>REG-71</t>
  </si>
  <si>
    <t>VALEC - Engenharia, Construções e Ferrovias S.A.</t>
  </si>
  <si>
    <t>Órgãos das Prefeituras</t>
  </si>
  <si>
    <t>Unidade Federativa</t>
  </si>
  <si>
    <t>REG-35+REG-36</t>
  </si>
  <si>
    <t>REG-43+REG-44</t>
  </si>
  <si>
    <t>PARÂMETROS DO IC-INDE — fotografia de 25/06/2026</t>
  </si>
  <si>
    <t>Parâmetro</t>
  </si>
  <si>
    <t>Valor</t>
  </si>
  <si>
    <t>Unidade/critério</t>
  </si>
  <si>
    <t>Observação</t>
  </si>
  <si>
    <t>Peso Publicização (wP)</t>
  </si>
  <si>
    <t>proporção</t>
  </si>
  <si>
    <t>Maior peso: abertura do acervo declarado</t>
  </si>
  <si>
    <t>Peso Atualidade (wA)</t>
  </si>
  <si>
    <t>Decaimento exponencial por meia-vida</t>
  </si>
  <si>
    <t>Peso Acervo (wV)</t>
  </si>
  <si>
    <t>Robustez em escala logarítmica</t>
  </si>
  <si>
    <t>Meia-vida (τ)</t>
  </si>
  <si>
    <t>dias</t>
  </si>
  <si>
    <t>A cada 730 dias a nota de atualidade cai pela metade</t>
  </si>
  <si>
    <t>Data de referência</t>
  </si>
  <si>
    <t>data</t>
  </si>
  <si>
    <t>Data única do recorte transversal</t>
  </si>
  <si>
    <t>Soma dos pesos</t>
  </si>
  <si>
    <t>deve ser 1,00</t>
  </si>
  <si>
    <t>Verificar antes de interpretar os resultados</t>
  </si>
  <si>
    <t>Maior acervo observado (M*)</t>
  </si>
  <si>
    <t>conjuntos</t>
  </si>
  <si>
    <t>Recalcula com a base tratada</t>
  </si>
  <si>
    <t>Status dos pesos</t>
  </si>
  <si>
    <t>controle</t>
  </si>
  <si>
    <t>O índice pressupõe soma dos pesos igual a 1</t>
  </si>
  <si>
    <t>Limiar A – Plena</t>
  </si>
  <si>
    <t>pontos</t>
  </si>
  <si>
    <t>IC-INDE ≥ 80</t>
  </si>
  <si>
    <t>Limiar B – Alta</t>
  </si>
  <si>
    <t>60 ≤ IC-INDE &lt; 80</t>
  </si>
  <si>
    <t>Limiar C – Média</t>
  </si>
  <si>
    <t>40 ≤ IC-INDE &lt; 60</t>
  </si>
  <si>
    <t>Limiar D – Baixa</t>
  </si>
  <si>
    <t>20 ≤ IC-INDE &lt; 40</t>
  </si>
  <si>
    <t>Região</t>
  </si>
  <si>
    <t>P – Publicização</t>
  </si>
  <si>
    <t>Δt (dias)</t>
  </si>
  <si>
    <t>A – Atualidade</t>
  </si>
  <si>
    <t>V – Acervo</t>
  </si>
  <si>
    <t>IC-INDE</t>
  </si>
  <si>
    <t>Faixa</t>
  </si>
  <si>
    <t>Rank</t>
  </si>
  <si>
    <t>IC pesos iguais</t>
  </si>
  <si>
    <t>Rank pesos iguais</t>
  </si>
  <si>
    <t>Variação rank</t>
  </si>
  <si>
    <t>Faixa pesos iguais</t>
  </si>
  <si>
    <t>Mudança de faixa</t>
  </si>
  <si>
    <t>IC × Total</t>
  </si>
  <si>
    <t>Publicação agregada</t>
  </si>
  <si>
    <t>N</t>
  </si>
  <si>
    <t>AGREGAÇÕES DO IC-INDE POR ESFERA, TIPO E REGIÃO</t>
  </si>
  <si>
    <t>Por esfera administrativa</t>
  </si>
  <si>
    <t>Categoria</t>
  </si>
  <si>
    <t>IC médio</t>
  </si>
  <si>
    <t>IC ponderado</t>
  </si>
  <si>
    <t>P médio</t>
  </si>
  <si>
    <t>A médio</t>
  </si>
  <si>
    <t>V médio</t>
  </si>
  <si>
    <t>% do acervo</t>
  </si>
  <si>
    <t>Por tipo de entidade</t>
  </si>
  <si>
    <t>Por região de abrangência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</si>
</sst>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%"/>
  </numFmts>
  <fonts count="6" x14ac:knownFonts="1">
    <font>
      <sz val="11"/>
      <name val="Calibri"/>
      <charset val="1"/>
    </font>
    <font>
      <b/>
      <sz val="11"/>
      <name val="Arial"/>
      <charset val="1"/>
    </font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6"/>
      <color rgb="FFFFFFFF"/>
      <name val="Calibri"/>
      <charset val="1"/>
    </font>
    <font>
      <b/>
      <sz val="12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1F4E78"/>
        <bgColor rgb="FF1F4E79"/>
      </patternFill>
    </fill>
    <fill>
      <patternFill patternType="solid">
        <fgColor rgb="FFF3F7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1" fontId="0" fillId="4" borderId="0" xfId="0" applyNumberFormat="1" applyFill="1" applyAlignment="1">
      <alignment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4" fontId="0" fillId="0" borderId="0" xfId="0" applyNumberFormat="1"/>
    <xf numFmtId="166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4EA72E"/>
      <rgbColor rgb="FF800080"/>
      <rgbColor rgb="FF0D8CBD"/>
      <rgbColor rgb="FFBFBFBF"/>
      <rgbColor rgb="FF8B8B8B"/>
      <rgbColor rgb="FF9999FF"/>
      <rgbColor rgb="FF8E2682"/>
      <rgbColor rgb="FFFFF2CC"/>
      <rgbColor rgb="FFD9EAF7"/>
      <rgbColor rgb="FF660066"/>
      <rgbColor rgb="FFCF642C"/>
      <rgbColor rgb="FF125573"/>
      <rgbColor rgb="FFCCCCC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F3F7FA"/>
      <rgbColor rgb="FFD9EAD3"/>
      <rgbColor rgb="FFFCE5CD"/>
      <rgbColor rgb="FFD9D9D9"/>
      <rgbColor rgb="FFEEA18B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595959"/>
      <rgbColor rgb="FF889AAA"/>
      <rgbColor rgb="FF1F4E78"/>
      <rgbColor rgb="FF459428"/>
      <rgbColor rgb="FF165F20"/>
      <rgbColor rgb="FF274E13"/>
      <rgbColor rgb="FF993300"/>
      <rgbColor rgb="FFA02B93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TratadaTable" displayName="BaseTratadaTable" ref="A1:I70" totalsRowShown="0">
  <tableColumns count="9">
    <tableColumn id="1" xr3:uid="{00000000-0010-0000-0000-000001000000}" name="ID"/>
    <tableColumn id="2" xr3:uid="{00000000-0010-0000-0000-000002000000}" name="Instituição"/>
    <tableColumn id="3" xr3:uid="{00000000-0010-0000-0000-000003000000}" name="Esfera"/>
    <tableColumn id="4" xr3:uid="{00000000-0010-0000-0000-000004000000}" name="Tipo de entidade"/>
    <tableColumn id="5" xr3:uid="{00000000-0010-0000-0000-000005000000}" name="Região (abrangência)"/>
    <tableColumn id="6" xr3:uid="{00000000-0010-0000-0000-000006000000}" name="Total"/>
    <tableColumn id="7" xr3:uid="{00000000-0010-0000-0000-000007000000}" name="Publicados"/>
    <tableColumn id="8" xr3:uid="{00000000-0010-0000-0000-000008000000}" name="Pendentes"/>
    <tableColumn id="9" xr3:uid="{00000000-0010-0000-0000-000009000000}" name="Última atualizaçã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culoICINDETable" displayName="CalculoICINDETable" ref="A1:V70" totalsRowShown="0">
  <tableColumns count="22">
    <tableColumn id="1" xr3:uid="{00000000-0010-0000-0100-000001000000}" name="ID"/>
    <tableColumn id="2" xr3:uid="{00000000-0010-0000-0100-000002000000}" name="Instituição"/>
    <tableColumn id="3" xr3:uid="{00000000-0010-0000-0100-000003000000}" name="Esfera"/>
    <tableColumn id="4" xr3:uid="{00000000-0010-0000-0100-000004000000}" name="Tipo de entidade"/>
    <tableColumn id="5" xr3:uid="{00000000-0010-0000-0100-000005000000}" name="Região"/>
    <tableColumn id="6" xr3:uid="{00000000-0010-0000-0100-000006000000}" name="Total"/>
    <tableColumn id="7" xr3:uid="{00000000-0010-0000-0100-000007000000}" name="Publicados"/>
    <tableColumn id="8" xr3:uid="{00000000-0010-0000-0100-000008000000}" name="Pendentes"/>
    <tableColumn id="9" xr3:uid="{00000000-0010-0000-0100-000009000000}" name="Última atualização"/>
    <tableColumn id="10" xr3:uid="{00000000-0010-0000-0100-00000A000000}" name="P – Publicização"/>
    <tableColumn id="11" xr3:uid="{00000000-0010-0000-0100-00000B000000}" name="Δt (dias)"/>
    <tableColumn id="12" xr3:uid="{00000000-0010-0000-0100-00000C000000}" name="A – Atualidade"/>
    <tableColumn id="13" xr3:uid="{00000000-0010-0000-0100-00000D000000}" name="V – Acervo"/>
    <tableColumn id="14" xr3:uid="{00000000-0010-0000-0100-00000E000000}" name="IC-INDE"/>
    <tableColumn id="15" xr3:uid="{00000000-0010-0000-0100-00000F000000}" name="Faixa"/>
    <tableColumn id="16" xr3:uid="{00000000-0010-0000-0100-000010000000}" name="Rank"/>
    <tableColumn id="17" xr3:uid="{00000000-0010-0000-0100-000011000000}" name="IC pesos iguais"/>
    <tableColumn id="18" xr3:uid="{00000000-0010-0000-0100-000012000000}" name="Rank pesos iguais"/>
    <tableColumn id="19" xr3:uid="{00000000-0010-0000-0100-000013000000}" name="Variação rank"/>
    <tableColumn id="20" xr3:uid="{00000000-0010-0000-0100-000014000000}" name="Faixa pesos iguais"/>
    <tableColumn id="21" xr3:uid="{00000000-0010-0000-0100-000015000000}" name="Mudança de faixa"/>
    <tableColumn id="22" xr3:uid="{00000000-0010-0000-0100-000016000000}" name="IC × 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zoomScaleNormal="100" workbookViewId="0">
      <pane ySplit="1" topLeftCell="A2" activePane="bottomLeft" state="frozen"/>
      <selection pane="bottomLeft" activeCell="L16" sqref="L16"/>
    </sheetView>
  </sheetViews>
  <sheetFormatPr defaultColWidth="8.7109375" defaultRowHeight="15" x14ac:dyDescent="0.25"/>
  <cols>
    <col min="1" max="1" width="46" customWidth="1"/>
    <col min="2" max="2" width="9" customWidth="1"/>
    <col min="3" max="3" width="11" customWidth="1"/>
    <col min="4" max="4" width="10" customWidth="1"/>
    <col min="5" max="5" width="14" customWidth="1"/>
  </cols>
  <sheetData>
    <row r="1" spans="1:5" ht="26.25" customHeight="1" x14ac:dyDescent="0.25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5" customHeight="1" x14ac:dyDescent="0.25">
      <c r="A2" s="2" t="s">
        <v>10</v>
      </c>
      <c r="B2" s="2">
        <v>7</v>
      </c>
      <c r="C2" s="2">
        <v>0</v>
      </c>
      <c r="D2" s="2">
        <v>7</v>
      </c>
      <c r="E2" s="3">
        <v>45395</v>
      </c>
    </row>
    <row r="3" spans="1:5" ht="15" customHeight="1" x14ac:dyDescent="0.25">
      <c r="A3" s="2" t="s">
        <v>14</v>
      </c>
      <c r="B3" s="2">
        <v>197</v>
      </c>
      <c r="C3" s="2">
        <v>197</v>
      </c>
      <c r="D3" s="2">
        <v>0</v>
      </c>
      <c r="E3" s="3">
        <v>46193</v>
      </c>
    </row>
    <row r="4" spans="1:5" ht="15" customHeight="1" x14ac:dyDescent="0.25">
      <c r="A4" s="2" t="s">
        <v>16</v>
      </c>
      <c r="B4" s="2">
        <v>16</v>
      </c>
      <c r="C4" s="2">
        <v>16</v>
      </c>
      <c r="D4" s="2">
        <v>0</v>
      </c>
      <c r="E4" s="3">
        <v>42497</v>
      </c>
    </row>
    <row r="5" spans="1:5" ht="15" customHeight="1" x14ac:dyDescent="0.25">
      <c r="A5" s="2" t="s">
        <v>18</v>
      </c>
      <c r="B5" s="2">
        <v>5</v>
      </c>
      <c r="C5" s="2">
        <v>5</v>
      </c>
      <c r="D5" s="2">
        <v>0</v>
      </c>
      <c r="E5" s="3">
        <v>44909</v>
      </c>
    </row>
    <row r="6" spans="1:5" ht="15" customHeight="1" x14ac:dyDescent="0.25">
      <c r="A6" s="2" t="s">
        <v>20</v>
      </c>
      <c r="B6" s="2">
        <v>19</v>
      </c>
      <c r="C6" s="2">
        <v>7</v>
      </c>
      <c r="D6" s="2">
        <v>12</v>
      </c>
      <c r="E6" s="3">
        <v>45420</v>
      </c>
    </row>
    <row r="7" spans="1:5" ht="15" customHeight="1" x14ac:dyDescent="0.25">
      <c r="A7" s="2" t="s">
        <v>22</v>
      </c>
      <c r="B7" s="2">
        <v>102</v>
      </c>
      <c r="C7" s="2">
        <v>68</v>
      </c>
      <c r="D7" s="2">
        <v>34</v>
      </c>
      <c r="E7" s="3">
        <v>44961</v>
      </c>
    </row>
    <row r="8" spans="1:5" ht="15" customHeight="1" x14ac:dyDescent="0.25">
      <c r="A8" s="2" t="s">
        <v>25</v>
      </c>
      <c r="B8" s="2">
        <v>1385</v>
      </c>
      <c r="C8" s="2">
        <v>1385</v>
      </c>
      <c r="D8" s="2">
        <v>0</v>
      </c>
      <c r="E8" s="3">
        <v>45750</v>
      </c>
    </row>
    <row r="9" spans="1:5" ht="15" customHeight="1" x14ac:dyDescent="0.25">
      <c r="A9" s="2" t="s">
        <v>29</v>
      </c>
      <c r="B9" s="2">
        <v>3</v>
      </c>
      <c r="C9" s="2">
        <v>0</v>
      </c>
      <c r="D9" s="2">
        <v>3</v>
      </c>
      <c r="E9" s="3">
        <v>45747</v>
      </c>
    </row>
    <row r="10" spans="1:5" ht="15" customHeight="1" x14ac:dyDescent="0.25">
      <c r="A10" s="2" t="s">
        <v>33</v>
      </c>
      <c r="B10" s="2">
        <v>2</v>
      </c>
      <c r="C10" s="2">
        <v>1</v>
      </c>
      <c r="D10" s="2">
        <v>1</v>
      </c>
      <c r="E10" s="3">
        <v>45969</v>
      </c>
    </row>
    <row r="11" spans="1:5" ht="15" customHeight="1" x14ac:dyDescent="0.25">
      <c r="A11" s="2" t="s">
        <v>36</v>
      </c>
      <c r="B11" s="2">
        <v>767</v>
      </c>
      <c r="C11" s="2">
        <v>767</v>
      </c>
      <c r="D11" s="2">
        <v>0</v>
      </c>
      <c r="E11" s="3">
        <v>45905</v>
      </c>
    </row>
    <row r="12" spans="1:5" ht="15" customHeight="1" x14ac:dyDescent="0.25">
      <c r="A12" s="2" t="s">
        <v>38</v>
      </c>
      <c r="B12" s="2">
        <v>40</v>
      </c>
      <c r="C12" s="2">
        <v>34</v>
      </c>
      <c r="D12" s="2">
        <v>6</v>
      </c>
      <c r="E12" s="3">
        <v>46038</v>
      </c>
    </row>
    <row r="13" spans="1:5" ht="15" customHeight="1" x14ac:dyDescent="0.25">
      <c r="A13" s="2" t="s">
        <v>40</v>
      </c>
      <c r="B13" s="2">
        <v>19829</v>
      </c>
      <c r="C13" s="2">
        <v>19829</v>
      </c>
      <c r="D13" s="2">
        <v>0</v>
      </c>
      <c r="E13" s="3">
        <v>46189</v>
      </c>
    </row>
    <row r="14" spans="1:5" ht="15" customHeight="1" x14ac:dyDescent="0.25">
      <c r="A14" s="2" t="s">
        <v>42</v>
      </c>
      <c r="B14" s="2">
        <v>2390</v>
      </c>
      <c r="C14" s="2">
        <v>2389</v>
      </c>
      <c r="D14" s="2">
        <v>1</v>
      </c>
      <c r="E14" s="3">
        <v>46191</v>
      </c>
    </row>
    <row r="15" spans="1:5" ht="15" customHeight="1" x14ac:dyDescent="0.25">
      <c r="A15" s="2" t="s">
        <v>44</v>
      </c>
      <c r="B15" s="2">
        <v>13</v>
      </c>
      <c r="C15" s="2">
        <v>13</v>
      </c>
      <c r="D15" s="2">
        <v>0</v>
      </c>
      <c r="E15" s="3">
        <v>46171</v>
      </c>
    </row>
    <row r="16" spans="1:5" ht="15" customHeight="1" x14ac:dyDescent="0.25">
      <c r="A16" s="2" t="s">
        <v>48</v>
      </c>
      <c r="B16" s="2">
        <v>5</v>
      </c>
      <c r="C16" s="2">
        <v>5</v>
      </c>
      <c r="D16" s="2">
        <v>0</v>
      </c>
      <c r="E16" s="3">
        <v>45595</v>
      </c>
    </row>
    <row r="17" spans="1:5" ht="15" customHeight="1" x14ac:dyDescent="0.25">
      <c r="A17" s="2" t="s">
        <v>50</v>
      </c>
      <c r="B17" s="2">
        <v>71</v>
      </c>
      <c r="C17" s="2">
        <v>71</v>
      </c>
      <c r="D17" s="2">
        <v>0</v>
      </c>
      <c r="E17" s="3">
        <v>46197</v>
      </c>
    </row>
    <row r="18" spans="1:5" ht="15" customHeight="1" x14ac:dyDescent="0.25">
      <c r="A18" s="2" t="s">
        <v>53</v>
      </c>
      <c r="B18" s="2">
        <v>651</v>
      </c>
      <c r="C18" s="2">
        <v>649</v>
      </c>
      <c r="D18" s="2">
        <v>2</v>
      </c>
      <c r="E18" s="3">
        <v>46099</v>
      </c>
    </row>
    <row r="19" spans="1:5" ht="15" customHeight="1" x14ac:dyDescent="0.25">
      <c r="A19" s="2" t="s">
        <v>55</v>
      </c>
      <c r="B19" s="2">
        <v>100</v>
      </c>
      <c r="C19" s="2">
        <v>100</v>
      </c>
      <c r="D19" s="2">
        <v>0</v>
      </c>
      <c r="E19" s="3">
        <v>45979</v>
      </c>
    </row>
    <row r="20" spans="1:5" ht="15" customHeight="1" x14ac:dyDescent="0.25">
      <c r="A20" s="2" t="s">
        <v>57</v>
      </c>
      <c r="B20" s="2">
        <v>187</v>
      </c>
      <c r="C20" s="2">
        <v>187</v>
      </c>
      <c r="D20" s="2">
        <v>0</v>
      </c>
      <c r="E20" s="3">
        <v>45477</v>
      </c>
    </row>
    <row r="21" spans="1:5" ht="15" customHeight="1" x14ac:dyDescent="0.25">
      <c r="A21" s="2" t="s">
        <v>59</v>
      </c>
      <c r="B21" s="2">
        <v>21273</v>
      </c>
      <c r="C21" s="2">
        <v>21194</v>
      </c>
      <c r="D21" s="2">
        <v>79</v>
      </c>
      <c r="E21" s="3">
        <v>46190</v>
      </c>
    </row>
    <row r="22" spans="1:5" ht="15" customHeight="1" x14ac:dyDescent="0.25">
      <c r="A22" s="2" t="s">
        <v>61</v>
      </c>
      <c r="B22" s="2">
        <v>4707</v>
      </c>
      <c r="C22" s="2">
        <v>2307</v>
      </c>
      <c r="D22" s="2">
        <v>2400</v>
      </c>
      <c r="E22" s="3">
        <v>45115</v>
      </c>
    </row>
    <row r="23" spans="1:5" ht="15" customHeight="1" x14ac:dyDescent="0.25">
      <c r="A23" s="2" t="s">
        <v>63</v>
      </c>
      <c r="B23" s="2">
        <v>23</v>
      </c>
      <c r="C23" s="2">
        <v>17</v>
      </c>
      <c r="D23" s="2">
        <v>6</v>
      </c>
      <c r="E23" s="3">
        <v>46196</v>
      </c>
    </row>
    <row r="24" spans="1:5" ht="15" customHeight="1" x14ac:dyDescent="0.25">
      <c r="A24" s="2" t="s">
        <v>65</v>
      </c>
      <c r="B24" s="2">
        <v>2018</v>
      </c>
      <c r="C24" s="2">
        <v>2018</v>
      </c>
      <c r="D24" s="2">
        <v>0</v>
      </c>
      <c r="E24" s="3">
        <v>46193</v>
      </c>
    </row>
    <row r="25" spans="1:5" ht="15" customHeight="1" x14ac:dyDescent="0.25">
      <c r="A25" s="2" t="s">
        <v>68</v>
      </c>
      <c r="B25" s="2">
        <v>788</v>
      </c>
      <c r="C25" s="2">
        <v>788</v>
      </c>
      <c r="D25" s="2">
        <v>0</v>
      </c>
      <c r="E25" s="3">
        <v>46182</v>
      </c>
    </row>
    <row r="26" spans="1:5" ht="15" customHeight="1" x14ac:dyDescent="0.25">
      <c r="A26" s="2" t="s">
        <v>70</v>
      </c>
      <c r="B26" s="2">
        <v>218</v>
      </c>
      <c r="C26" s="2">
        <v>218</v>
      </c>
      <c r="D26" s="2">
        <v>0</v>
      </c>
      <c r="E26" s="3">
        <v>45923</v>
      </c>
    </row>
    <row r="27" spans="1:5" ht="15" customHeight="1" x14ac:dyDescent="0.25">
      <c r="A27" s="2" t="s">
        <v>72</v>
      </c>
      <c r="B27" s="2">
        <v>749</v>
      </c>
      <c r="C27" s="2">
        <v>749</v>
      </c>
      <c r="D27" s="2">
        <v>0</v>
      </c>
      <c r="E27" s="3">
        <v>46191</v>
      </c>
    </row>
    <row r="28" spans="1:5" ht="15" customHeight="1" x14ac:dyDescent="0.25">
      <c r="A28" s="2" t="s">
        <v>74</v>
      </c>
      <c r="B28" s="2">
        <v>1053</v>
      </c>
      <c r="C28" s="2">
        <v>1052</v>
      </c>
      <c r="D28" s="2">
        <v>1</v>
      </c>
      <c r="E28" s="3">
        <v>45846</v>
      </c>
    </row>
    <row r="29" spans="1:5" ht="15" customHeight="1" x14ac:dyDescent="0.25">
      <c r="A29" s="2" t="s">
        <v>76</v>
      </c>
      <c r="B29" s="2">
        <v>1963</v>
      </c>
      <c r="C29" s="2">
        <v>1963</v>
      </c>
      <c r="D29" s="2">
        <v>0</v>
      </c>
      <c r="E29" s="3">
        <v>46198</v>
      </c>
    </row>
    <row r="30" spans="1:5" ht="15" customHeight="1" x14ac:dyDescent="0.25">
      <c r="A30" s="2" t="s">
        <v>78</v>
      </c>
      <c r="B30" s="2">
        <v>6</v>
      </c>
      <c r="C30" s="2">
        <v>5</v>
      </c>
      <c r="D30" s="2">
        <v>1</v>
      </c>
      <c r="E30" s="3">
        <v>45552</v>
      </c>
    </row>
    <row r="31" spans="1:5" ht="15" customHeight="1" x14ac:dyDescent="0.25">
      <c r="A31" s="2" t="s">
        <v>80</v>
      </c>
      <c r="B31" s="2">
        <v>736</v>
      </c>
      <c r="C31" s="2">
        <v>593</v>
      </c>
      <c r="D31" s="2">
        <v>143</v>
      </c>
      <c r="E31" s="3">
        <v>45864</v>
      </c>
    </row>
    <row r="32" spans="1:5" ht="15" customHeight="1" x14ac:dyDescent="0.25">
      <c r="A32" s="2" t="s">
        <v>82</v>
      </c>
      <c r="B32" s="2">
        <v>82</v>
      </c>
      <c r="C32" s="2">
        <v>82</v>
      </c>
      <c r="D32" s="2">
        <v>0</v>
      </c>
      <c r="E32" s="3">
        <v>46190</v>
      </c>
    </row>
    <row r="33" spans="1:5" ht="15" customHeight="1" x14ac:dyDescent="0.25">
      <c r="A33" s="2" t="s">
        <v>84</v>
      </c>
      <c r="B33" s="2">
        <v>19</v>
      </c>
      <c r="C33" s="2">
        <v>19</v>
      </c>
      <c r="D33" s="2">
        <v>0</v>
      </c>
      <c r="E33" s="3">
        <v>45205</v>
      </c>
    </row>
    <row r="34" spans="1:5" ht="15" customHeight="1" x14ac:dyDescent="0.25">
      <c r="A34" s="2" t="s">
        <v>86</v>
      </c>
      <c r="B34" s="2">
        <v>36</v>
      </c>
      <c r="C34" s="2">
        <v>0</v>
      </c>
      <c r="D34" s="2">
        <v>36</v>
      </c>
      <c r="E34" s="3">
        <v>44943</v>
      </c>
    </row>
    <row r="35" spans="1:5" ht="15" customHeight="1" x14ac:dyDescent="0.25">
      <c r="A35" s="2" t="s">
        <v>88</v>
      </c>
      <c r="B35" s="2">
        <v>1</v>
      </c>
      <c r="C35" s="2">
        <v>1</v>
      </c>
      <c r="D35" s="2">
        <v>0</v>
      </c>
      <c r="E35" s="3">
        <v>45072</v>
      </c>
    </row>
    <row r="36" spans="1:5" ht="15" customHeight="1" x14ac:dyDescent="0.25">
      <c r="A36" s="2" t="s">
        <v>89</v>
      </c>
      <c r="B36" s="2">
        <v>215</v>
      </c>
      <c r="C36" s="2">
        <v>0</v>
      </c>
      <c r="D36" s="2">
        <v>215</v>
      </c>
      <c r="E36" s="3">
        <v>44483</v>
      </c>
    </row>
    <row r="37" spans="1:5" ht="15" customHeight="1" x14ac:dyDescent="0.25">
      <c r="A37" s="2" t="s">
        <v>89</v>
      </c>
      <c r="B37" s="2">
        <v>3019</v>
      </c>
      <c r="C37" s="2">
        <v>3019</v>
      </c>
      <c r="D37" s="2">
        <v>0</v>
      </c>
      <c r="E37" s="3">
        <v>46142</v>
      </c>
    </row>
    <row r="38" spans="1:5" ht="15" customHeight="1" x14ac:dyDescent="0.25">
      <c r="A38" s="2" t="s">
        <v>91</v>
      </c>
      <c r="B38" s="2">
        <v>22</v>
      </c>
      <c r="C38" s="2">
        <v>20</v>
      </c>
      <c r="D38" s="2">
        <v>2</v>
      </c>
      <c r="E38" s="3">
        <v>45749</v>
      </c>
    </row>
    <row r="39" spans="1:5" ht="15" customHeight="1" x14ac:dyDescent="0.25">
      <c r="A39" s="2" t="s">
        <v>93</v>
      </c>
      <c r="B39" s="2">
        <v>5</v>
      </c>
      <c r="C39" s="2">
        <v>5</v>
      </c>
      <c r="D39" s="2">
        <v>0</v>
      </c>
      <c r="E39" s="3">
        <v>41536</v>
      </c>
    </row>
    <row r="40" spans="1:5" ht="15" customHeight="1" x14ac:dyDescent="0.25">
      <c r="A40" s="2" t="s">
        <v>95</v>
      </c>
      <c r="B40" s="2">
        <v>12</v>
      </c>
      <c r="C40" s="2">
        <v>0</v>
      </c>
      <c r="D40" s="2">
        <v>12</v>
      </c>
      <c r="E40" s="3">
        <v>41697</v>
      </c>
    </row>
    <row r="41" spans="1:5" ht="15" customHeight="1" x14ac:dyDescent="0.25">
      <c r="A41" s="2" t="s">
        <v>97</v>
      </c>
      <c r="B41" s="2">
        <v>10</v>
      </c>
      <c r="C41" s="2">
        <v>4</v>
      </c>
      <c r="D41" s="2">
        <v>6</v>
      </c>
      <c r="E41" s="3">
        <v>41975</v>
      </c>
    </row>
    <row r="42" spans="1:5" ht="15" customHeight="1" x14ac:dyDescent="0.25">
      <c r="A42" s="2" t="s">
        <v>99</v>
      </c>
      <c r="B42" s="2">
        <v>4</v>
      </c>
      <c r="C42" s="2">
        <v>4</v>
      </c>
      <c r="D42" s="2">
        <v>0</v>
      </c>
      <c r="E42" s="3">
        <v>45909</v>
      </c>
    </row>
    <row r="43" spans="1:5" ht="15" customHeight="1" x14ac:dyDescent="0.25">
      <c r="A43" s="2" t="s">
        <v>101</v>
      </c>
      <c r="B43" s="2">
        <v>3</v>
      </c>
      <c r="C43" s="2">
        <v>1</v>
      </c>
      <c r="D43" s="2">
        <v>2</v>
      </c>
      <c r="E43" s="3">
        <v>46109</v>
      </c>
    </row>
    <row r="44" spans="1:5" ht="15" customHeight="1" x14ac:dyDescent="0.25">
      <c r="A44" s="2" t="s">
        <v>102</v>
      </c>
      <c r="B44" s="2">
        <v>27</v>
      </c>
      <c r="C44" s="2">
        <v>27</v>
      </c>
      <c r="D44" s="2">
        <v>0</v>
      </c>
      <c r="E44" s="3">
        <v>42382</v>
      </c>
    </row>
    <row r="45" spans="1:5" ht="15" customHeight="1" x14ac:dyDescent="0.25">
      <c r="A45" s="2" t="s">
        <v>102</v>
      </c>
      <c r="B45" s="2">
        <v>142</v>
      </c>
      <c r="C45" s="2">
        <v>69</v>
      </c>
      <c r="D45" s="2">
        <v>73</v>
      </c>
      <c r="E45" s="3">
        <v>43431</v>
      </c>
    </row>
    <row r="46" spans="1:5" ht="15" customHeight="1" x14ac:dyDescent="0.25">
      <c r="A46" s="2" t="s">
        <v>104</v>
      </c>
      <c r="B46" s="2">
        <v>53</v>
      </c>
      <c r="C46" s="2">
        <v>0</v>
      </c>
      <c r="D46" s="2">
        <v>53</v>
      </c>
      <c r="E46" s="3">
        <v>45608</v>
      </c>
    </row>
    <row r="47" spans="1:5" ht="15" customHeight="1" x14ac:dyDescent="0.25">
      <c r="A47" s="2" t="s">
        <v>106</v>
      </c>
      <c r="B47" s="2">
        <v>176</v>
      </c>
      <c r="C47" s="2">
        <v>176</v>
      </c>
      <c r="D47" s="2">
        <v>0</v>
      </c>
      <c r="E47" s="3">
        <v>46184</v>
      </c>
    </row>
    <row r="48" spans="1:5" ht="15" customHeight="1" x14ac:dyDescent="0.25">
      <c r="A48" s="2" t="s">
        <v>108</v>
      </c>
      <c r="B48" s="2">
        <v>10</v>
      </c>
      <c r="C48" s="2">
        <v>10</v>
      </c>
      <c r="D48" s="2">
        <v>0</v>
      </c>
      <c r="E48" s="3">
        <v>45115</v>
      </c>
    </row>
    <row r="49" spans="1:5" ht="15" customHeight="1" x14ac:dyDescent="0.25">
      <c r="A49" s="2" t="s">
        <v>110</v>
      </c>
      <c r="B49" s="2">
        <v>66</v>
      </c>
      <c r="C49" s="2">
        <v>66</v>
      </c>
      <c r="D49" s="2">
        <v>0</v>
      </c>
      <c r="E49" s="3">
        <v>45694</v>
      </c>
    </row>
    <row r="50" spans="1:5" ht="15" customHeight="1" x14ac:dyDescent="0.25">
      <c r="A50" s="2" t="s">
        <v>112</v>
      </c>
      <c r="B50" s="2">
        <v>6</v>
      </c>
      <c r="C50" s="2">
        <v>6</v>
      </c>
      <c r="D50" s="2">
        <v>0</v>
      </c>
      <c r="E50" s="3">
        <v>44974</v>
      </c>
    </row>
    <row r="51" spans="1:5" ht="15" customHeight="1" x14ac:dyDescent="0.25">
      <c r="A51" s="2" t="s">
        <v>114</v>
      </c>
      <c r="B51" s="2">
        <v>330</v>
      </c>
      <c r="C51" s="2">
        <v>330</v>
      </c>
      <c r="D51" s="2">
        <v>0</v>
      </c>
      <c r="E51" s="3">
        <v>46196</v>
      </c>
    </row>
    <row r="52" spans="1:5" ht="15" customHeight="1" x14ac:dyDescent="0.25">
      <c r="A52" s="2" t="s">
        <v>117</v>
      </c>
      <c r="B52" s="2">
        <v>1</v>
      </c>
      <c r="C52" s="2">
        <v>1</v>
      </c>
      <c r="D52" s="2">
        <v>0</v>
      </c>
      <c r="E52" s="3">
        <v>44972</v>
      </c>
    </row>
    <row r="53" spans="1:5" ht="15" customHeight="1" x14ac:dyDescent="0.25">
      <c r="A53" s="2" t="s">
        <v>119</v>
      </c>
      <c r="B53" s="2">
        <v>13</v>
      </c>
      <c r="C53" s="2">
        <v>0</v>
      </c>
      <c r="D53" s="2">
        <v>13</v>
      </c>
      <c r="E53" s="3">
        <v>45700</v>
      </c>
    </row>
    <row r="54" spans="1:5" ht="15" customHeight="1" x14ac:dyDescent="0.25">
      <c r="A54" s="2" t="s">
        <v>121</v>
      </c>
      <c r="B54" s="2">
        <v>2</v>
      </c>
      <c r="C54" s="2">
        <v>1</v>
      </c>
      <c r="D54" s="2">
        <v>1</v>
      </c>
      <c r="E54" s="3">
        <v>44957</v>
      </c>
    </row>
    <row r="55" spans="1:5" ht="15" customHeight="1" x14ac:dyDescent="0.25">
      <c r="A55" s="2" t="s">
        <v>123</v>
      </c>
      <c r="B55" s="2">
        <v>558</v>
      </c>
      <c r="C55" s="2">
        <v>558</v>
      </c>
      <c r="D55" s="2">
        <v>0</v>
      </c>
      <c r="E55" s="3">
        <v>46193</v>
      </c>
    </row>
    <row r="56" spans="1:5" ht="15" customHeight="1" x14ac:dyDescent="0.25">
      <c r="A56" s="2" t="s">
        <v>125</v>
      </c>
      <c r="B56" s="2">
        <v>6</v>
      </c>
      <c r="C56" s="2">
        <v>0</v>
      </c>
      <c r="D56" s="2">
        <v>6</v>
      </c>
      <c r="E56" s="3">
        <v>46031</v>
      </c>
    </row>
    <row r="57" spans="1:5" ht="15" customHeight="1" x14ac:dyDescent="0.25">
      <c r="A57" s="2" t="s">
        <v>127</v>
      </c>
      <c r="B57" s="2">
        <v>16</v>
      </c>
      <c r="C57" s="2">
        <v>16</v>
      </c>
      <c r="D57" s="2">
        <v>0</v>
      </c>
      <c r="E57" s="3">
        <v>46190</v>
      </c>
    </row>
    <row r="58" spans="1:5" ht="15" customHeight="1" x14ac:dyDescent="0.25">
      <c r="A58" s="2" t="s">
        <v>129</v>
      </c>
      <c r="B58" s="2">
        <v>175</v>
      </c>
      <c r="C58" s="2">
        <v>173</v>
      </c>
      <c r="D58" s="2">
        <v>2</v>
      </c>
      <c r="E58" s="3">
        <v>45667</v>
      </c>
    </row>
    <row r="59" spans="1:5" ht="15" customHeight="1" x14ac:dyDescent="0.25">
      <c r="A59" s="2" t="s">
        <v>131</v>
      </c>
      <c r="B59" s="2">
        <v>1641</v>
      </c>
      <c r="C59" s="2">
        <v>1641</v>
      </c>
      <c r="D59" s="2">
        <v>0</v>
      </c>
      <c r="E59" s="3">
        <v>46189</v>
      </c>
    </row>
    <row r="60" spans="1:5" ht="15" customHeight="1" x14ac:dyDescent="0.25">
      <c r="A60" s="2" t="s">
        <v>133</v>
      </c>
      <c r="B60" s="2">
        <v>19</v>
      </c>
      <c r="C60" s="2">
        <v>18</v>
      </c>
      <c r="D60" s="2">
        <v>1</v>
      </c>
      <c r="E60" s="3">
        <v>46196</v>
      </c>
    </row>
    <row r="61" spans="1:5" ht="15" customHeight="1" x14ac:dyDescent="0.25">
      <c r="A61" s="2" t="s">
        <v>135</v>
      </c>
      <c r="B61" s="2">
        <v>25</v>
      </c>
      <c r="C61" s="2">
        <v>23</v>
      </c>
      <c r="D61" s="2">
        <v>2</v>
      </c>
      <c r="E61" s="3">
        <v>46158</v>
      </c>
    </row>
    <row r="62" spans="1:5" ht="15" customHeight="1" x14ac:dyDescent="0.25">
      <c r="A62" s="2" t="s">
        <v>137</v>
      </c>
      <c r="B62" s="2">
        <v>325</v>
      </c>
      <c r="C62" s="2">
        <v>325</v>
      </c>
      <c r="D62" s="2">
        <v>0</v>
      </c>
      <c r="E62" s="3">
        <v>44939</v>
      </c>
    </row>
    <row r="63" spans="1:5" ht="15" customHeight="1" x14ac:dyDescent="0.25">
      <c r="A63" s="2" t="s">
        <v>140</v>
      </c>
      <c r="B63" s="2">
        <v>140</v>
      </c>
      <c r="C63" s="2">
        <v>139</v>
      </c>
      <c r="D63" s="2">
        <v>1</v>
      </c>
      <c r="E63" s="3">
        <v>46065</v>
      </c>
    </row>
    <row r="64" spans="1:5" ht="15" customHeight="1" x14ac:dyDescent="0.25">
      <c r="A64" s="2" t="s">
        <v>142</v>
      </c>
      <c r="B64" s="2">
        <v>5</v>
      </c>
      <c r="C64" s="2">
        <v>3</v>
      </c>
      <c r="D64" s="2">
        <v>2</v>
      </c>
      <c r="E64" s="3">
        <v>44530</v>
      </c>
    </row>
    <row r="65" spans="1:5" ht="15" customHeight="1" x14ac:dyDescent="0.25">
      <c r="A65" s="2" t="s">
        <v>144</v>
      </c>
      <c r="B65" s="2">
        <v>38</v>
      </c>
      <c r="C65" s="2">
        <v>38</v>
      </c>
      <c r="D65" s="2">
        <v>0</v>
      </c>
      <c r="E65" s="3">
        <v>42229</v>
      </c>
    </row>
    <row r="66" spans="1:5" ht="15" customHeight="1" x14ac:dyDescent="0.25">
      <c r="A66" s="2" t="s">
        <v>146</v>
      </c>
      <c r="B66" s="2">
        <v>322</v>
      </c>
      <c r="C66" s="2">
        <v>322</v>
      </c>
      <c r="D66" s="2">
        <v>0</v>
      </c>
      <c r="E66" s="3">
        <v>45834</v>
      </c>
    </row>
    <row r="67" spans="1:5" ht="15" customHeight="1" x14ac:dyDescent="0.25">
      <c r="A67" s="2" t="s">
        <v>148</v>
      </c>
      <c r="B67" s="2">
        <v>888</v>
      </c>
      <c r="C67" s="2">
        <v>888</v>
      </c>
      <c r="D67" s="2">
        <v>0</v>
      </c>
      <c r="E67" s="3">
        <v>45906</v>
      </c>
    </row>
    <row r="68" spans="1:5" ht="15" customHeight="1" x14ac:dyDescent="0.25">
      <c r="A68" s="2" t="s">
        <v>150</v>
      </c>
      <c r="B68" s="2">
        <v>3</v>
      </c>
      <c r="C68" s="2">
        <v>3</v>
      </c>
      <c r="D68" s="2">
        <v>0</v>
      </c>
      <c r="E68" s="3">
        <v>41577</v>
      </c>
    </row>
    <row r="69" spans="1:5" ht="15" customHeight="1" x14ac:dyDescent="0.25">
      <c r="A69" s="2" t="s">
        <v>152</v>
      </c>
      <c r="B69" s="2">
        <v>54</v>
      </c>
      <c r="C69" s="2">
        <v>48</v>
      </c>
      <c r="D69" s="2">
        <v>6</v>
      </c>
      <c r="E69" s="3">
        <v>46158</v>
      </c>
    </row>
    <row r="70" spans="1:5" ht="15" customHeight="1" x14ac:dyDescent="0.25">
      <c r="A70" s="2" t="s">
        <v>154</v>
      </c>
      <c r="B70" s="2">
        <v>92</v>
      </c>
      <c r="C70" s="2">
        <v>24</v>
      </c>
      <c r="D70" s="2">
        <v>68</v>
      </c>
      <c r="E70" s="3">
        <v>41390</v>
      </c>
    </row>
    <row r="71" spans="1:5" ht="15" customHeight="1" x14ac:dyDescent="0.25">
      <c r="A71" s="2" t="s">
        <v>156</v>
      </c>
      <c r="B71" s="2">
        <v>33</v>
      </c>
      <c r="C71" s="2">
        <v>8</v>
      </c>
      <c r="D71" s="2">
        <v>25</v>
      </c>
      <c r="E71" s="3">
        <v>45759</v>
      </c>
    </row>
    <row r="72" spans="1:5" ht="15" customHeight="1" x14ac:dyDescent="0.25">
      <c r="A72" s="2" t="s">
        <v>158</v>
      </c>
      <c r="B72" s="2">
        <v>3</v>
      </c>
      <c r="C72" s="2">
        <v>3</v>
      </c>
      <c r="D72" s="2">
        <v>0</v>
      </c>
      <c r="E72" s="3">
        <v>45546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tabSelected="1" topLeftCell="A2" zoomScaleNormal="100" workbookViewId="0">
      <selection activeCell="D18" sqref="A1:XFD1048576"/>
    </sheetView>
  </sheetViews>
  <sheetFormatPr defaultColWidth="8.7109375" defaultRowHeight="15" x14ac:dyDescent="0.25"/>
  <cols>
    <col min="1" max="1" width="15" customWidth="1"/>
    <col min="2" max="2" width="45" customWidth="1"/>
    <col min="3" max="3" width="20" customWidth="1"/>
    <col min="4" max="4" width="32" customWidth="1"/>
    <col min="5" max="5" width="20" customWidth="1"/>
    <col min="6" max="8" width="13" customWidth="1"/>
    <col min="9" max="9" width="18" customWidth="1"/>
  </cols>
  <sheetData>
    <row r="1" spans="1:9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4.25" customHeight="1" x14ac:dyDescent="0.25">
      <c r="A2" s="5" t="s">
        <v>58</v>
      </c>
      <c r="B2" s="6" t="s">
        <v>59</v>
      </c>
      <c r="C2" s="6" t="s">
        <v>11</v>
      </c>
      <c r="D2" s="6" t="s">
        <v>12</v>
      </c>
      <c r="E2" s="6" t="s">
        <v>11</v>
      </c>
      <c r="F2" s="7">
        <v>21273</v>
      </c>
      <c r="G2" s="7">
        <v>21194</v>
      </c>
      <c r="H2" s="7">
        <v>79</v>
      </c>
      <c r="I2" s="8">
        <v>46190</v>
      </c>
    </row>
    <row r="3" spans="1:9" ht="28.5" customHeight="1" x14ac:dyDescent="0.25">
      <c r="A3" s="5" t="s">
        <v>39</v>
      </c>
      <c r="B3" s="6" t="s">
        <v>40</v>
      </c>
      <c r="C3" s="6" t="s">
        <v>11</v>
      </c>
      <c r="D3" s="6" t="s">
        <v>34</v>
      </c>
      <c r="E3" s="6" t="s">
        <v>11</v>
      </c>
      <c r="F3" s="7">
        <v>19829</v>
      </c>
      <c r="G3" s="7">
        <v>19829</v>
      </c>
      <c r="H3" s="7">
        <v>0</v>
      </c>
      <c r="I3" s="8">
        <v>46189</v>
      </c>
    </row>
    <row r="4" spans="1:9" ht="28.5" customHeight="1" x14ac:dyDescent="0.25">
      <c r="A4" s="5" t="s">
        <v>41</v>
      </c>
      <c r="B4" s="6" t="s">
        <v>42</v>
      </c>
      <c r="C4" s="6" t="s">
        <v>11</v>
      </c>
      <c r="D4" s="6" t="s">
        <v>23</v>
      </c>
      <c r="E4" s="6" t="s">
        <v>11</v>
      </c>
      <c r="F4" s="7">
        <v>2390</v>
      </c>
      <c r="G4" s="7">
        <v>2389</v>
      </c>
      <c r="H4" s="7">
        <v>1</v>
      </c>
      <c r="I4" s="8">
        <v>46191</v>
      </c>
    </row>
    <row r="5" spans="1:9" ht="28.5" customHeight="1" x14ac:dyDescent="0.25">
      <c r="A5" s="5" t="s">
        <v>75</v>
      </c>
      <c r="B5" s="6" t="s">
        <v>76</v>
      </c>
      <c r="C5" s="6" t="s">
        <v>160</v>
      </c>
      <c r="D5" s="6" t="s">
        <v>66</v>
      </c>
      <c r="E5" s="6" t="s">
        <v>31</v>
      </c>
      <c r="F5" s="7">
        <v>1963</v>
      </c>
      <c r="G5" s="7">
        <v>1963</v>
      </c>
      <c r="H5" s="7">
        <v>0</v>
      </c>
      <c r="I5" s="8">
        <v>46198</v>
      </c>
    </row>
    <row r="6" spans="1:9" ht="28.5" customHeight="1" x14ac:dyDescent="0.25">
      <c r="A6" s="5" t="s">
        <v>64</v>
      </c>
      <c r="B6" s="6" t="s">
        <v>65</v>
      </c>
      <c r="C6" s="6" t="s">
        <v>160</v>
      </c>
      <c r="D6" s="6" t="s">
        <v>66</v>
      </c>
      <c r="E6" s="6" t="s">
        <v>46</v>
      </c>
      <c r="F6" s="7">
        <v>2018</v>
      </c>
      <c r="G6" s="7">
        <v>2018</v>
      </c>
      <c r="H6" s="7">
        <v>0</v>
      </c>
      <c r="I6" s="8">
        <v>46193</v>
      </c>
    </row>
    <row r="7" spans="1:9" ht="28.5" customHeight="1" x14ac:dyDescent="0.25">
      <c r="A7" s="5" t="s">
        <v>130</v>
      </c>
      <c r="B7" s="6" t="s">
        <v>131</v>
      </c>
      <c r="C7" s="6" t="s">
        <v>160</v>
      </c>
      <c r="D7" s="6" t="s">
        <v>23</v>
      </c>
      <c r="E7" s="6" t="s">
        <v>51</v>
      </c>
      <c r="F7" s="7">
        <v>1641</v>
      </c>
      <c r="G7" s="7">
        <v>1641</v>
      </c>
      <c r="H7" s="7">
        <v>0</v>
      </c>
      <c r="I7" s="8">
        <v>46189</v>
      </c>
    </row>
    <row r="8" spans="1:9" ht="42.75" customHeight="1" x14ac:dyDescent="0.25">
      <c r="A8" s="5" t="s">
        <v>71</v>
      </c>
      <c r="B8" s="6" t="s">
        <v>72</v>
      </c>
      <c r="C8" s="6" t="s">
        <v>160</v>
      </c>
      <c r="D8" s="6" t="s">
        <v>66</v>
      </c>
      <c r="E8" s="6" t="s">
        <v>51</v>
      </c>
      <c r="F8" s="7">
        <v>749</v>
      </c>
      <c r="G8" s="7">
        <v>749</v>
      </c>
      <c r="H8" s="7">
        <v>0</v>
      </c>
      <c r="I8" s="8">
        <v>46191</v>
      </c>
    </row>
    <row r="9" spans="1:9" ht="28.5" customHeight="1" x14ac:dyDescent="0.25">
      <c r="A9" s="5" t="s">
        <v>67</v>
      </c>
      <c r="B9" s="6" t="s">
        <v>68</v>
      </c>
      <c r="C9" s="6" t="s">
        <v>160</v>
      </c>
      <c r="D9" s="6" t="s">
        <v>66</v>
      </c>
      <c r="E9" s="6" t="s">
        <v>51</v>
      </c>
      <c r="F9" s="7">
        <v>788</v>
      </c>
      <c r="G9" s="7">
        <v>788</v>
      </c>
      <c r="H9" s="7">
        <v>0</v>
      </c>
      <c r="I9" s="8">
        <v>46182</v>
      </c>
    </row>
    <row r="10" spans="1:9" ht="14.25" customHeight="1" x14ac:dyDescent="0.25">
      <c r="A10" s="5" t="s">
        <v>161</v>
      </c>
      <c r="B10" s="6" t="s">
        <v>89</v>
      </c>
      <c r="C10" s="6" t="s">
        <v>11</v>
      </c>
      <c r="D10" s="6" t="s">
        <v>34</v>
      </c>
      <c r="E10" s="6" t="s">
        <v>11</v>
      </c>
      <c r="F10" s="7">
        <v>3234</v>
      </c>
      <c r="G10" s="7">
        <v>3019</v>
      </c>
      <c r="H10" s="7">
        <v>215</v>
      </c>
      <c r="I10" s="8">
        <v>46142</v>
      </c>
    </row>
    <row r="11" spans="1:9" ht="14.25" customHeight="1" x14ac:dyDescent="0.25">
      <c r="A11" s="5" t="s">
        <v>122</v>
      </c>
      <c r="B11" s="6" t="s">
        <v>123</v>
      </c>
      <c r="C11" s="6" t="s">
        <v>45</v>
      </c>
      <c r="D11" s="6" t="s">
        <v>115</v>
      </c>
      <c r="E11" s="6" t="s">
        <v>51</v>
      </c>
      <c r="F11" s="7">
        <v>558</v>
      </c>
      <c r="G11" s="7">
        <v>558</v>
      </c>
      <c r="H11" s="7">
        <v>0</v>
      </c>
      <c r="I11" s="8">
        <v>46193</v>
      </c>
    </row>
    <row r="12" spans="1:9" ht="14.25" customHeight="1" x14ac:dyDescent="0.25">
      <c r="A12" s="5" t="s">
        <v>113</v>
      </c>
      <c r="B12" s="6" t="s">
        <v>114</v>
      </c>
      <c r="C12" s="6" t="s">
        <v>45</v>
      </c>
      <c r="D12" s="6" t="s">
        <v>115</v>
      </c>
      <c r="E12" s="6" t="s">
        <v>11</v>
      </c>
      <c r="F12" s="7">
        <v>330</v>
      </c>
      <c r="G12" s="7">
        <v>330</v>
      </c>
      <c r="H12" s="7">
        <v>0</v>
      </c>
      <c r="I12" s="8">
        <v>46196</v>
      </c>
    </row>
    <row r="13" spans="1:9" ht="28.5" customHeight="1" x14ac:dyDescent="0.25">
      <c r="A13" s="5" t="s">
        <v>13</v>
      </c>
      <c r="B13" s="6" t="s">
        <v>14</v>
      </c>
      <c r="C13" s="6" t="s">
        <v>11</v>
      </c>
      <c r="D13" s="6" t="s">
        <v>12</v>
      </c>
      <c r="E13" s="6" t="s">
        <v>11</v>
      </c>
      <c r="F13" s="7">
        <v>197</v>
      </c>
      <c r="G13" s="7">
        <v>197</v>
      </c>
      <c r="H13" s="7">
        <v>0</v>
      </c>
      <c r="I13" s="8">
        <v>46193</v>
      </c>
    </row>
    <row r="14" spans="1:9" ht="14.25" customHeight="1" x14ac:dyDescent="0.25">
      <c r="A14" s="5" t="s">
        <v>52</v>
      </c>
      <c r="B14" s="6" t="s">
        <v>53</v>
      </c>
      <c r="C14" s="6" t="s">
        <v>11</v>
      </c>
      <c r="D14" s="6" t="s">
        <v>12</v>
      </c>
      <c r="E14" s="6" t="s">
        <v>11</v>
      </c>
      <c r="F14" s="7">
        <v>651</v>
      </c>
      <c r="G14" s="7">
        <v>649</v>
      </c>
      <c r="H14" s="7">
        <v>2</v>
      </c>
      <c r="I14" s="8">
        <v>46099</v>
      </c>
    </row>
    <row r="15" spans="1:9" ht="14.25" customHeight="1" x14ac:dyDescent="0.25">
      <c r="A15" s="5" t="s">
        <v>105</v>
      </c>
      <c r="B15" s="6" t="s">
        <v>106</v>
      </c>
      <c r="C15" s="6" t="s">
        <v>11</v>
      </c>
      <c r="D15" s="6" t="s">
        <v>26</v>
      </c>
      <c r="E15" s="6" t="s">
        <v>11</v>
      </c>
      <c r="F15" s="7">
        <v>176</v>
      </c>
      <c r="G15" s="7">
        <v>176</v>
      </c>
      <c r="H15" s="7">
        <v>0</v>
      </c>
      <c r="I15" s="8">
        <v>46184</v>
      </c>
    </row>
    <row r="16" spans="1:9" ht="14.25" customHeight="1" x14ac:dyDescent="0.25">
      <c r="A16" s="5" t="s">
        <v>81</v>
      </c>
      <c r="B16" s="6" t="s">
        <v>82</v>
      </c>
      <c r="C16" s="6" t="s">
        <v>11</v>
      </c>
      <c r="D16" s="6" t="s">
        <v>30</v>
      </c>
      <c r="E16" s="6" t="s">
        <v>11</v>
      </c>
      <c r="F16" s="7">
        <v>82</v>
      </c>
      <c r="G16" s="7">
        <v>82</v>
      </c>
      <c r="H16" s="7">
        <v>0</v>
      </c>
      <c r="I16" s="8">
        <v>46190</v>
      </c>
    </row>
    <row r="17" spans="1:9" ht="14.25" customHeight="1" x14ac:dyDescent="0.25">
      <c r="A17" s="5" t="s">
        <v>49</v>
      </c>
      <c r="B17" s="6" t="s">
        <v>50</v>
      </c>
      <c r="C17" s="6" t="s">
        <v>160</v>
      </c>
      <c r="D17" s="6" t="s">
        <v>12</v>
      </c>
      <c r="E17" s="6" t="s">
        <v>51</v>
      </c>
      <c r="F17" s="7">
        <v>71</v>
      </c>
      <c r="G17" s="7">
        <v>71</v>
      </c>
      <c r="H17" s="7">
        <v>0</v>
      </c>
      <c r="I17" s="8">
        <v>46197</v>
      </c>
    </row>
    <row r="18" spans="1:9" ht="28.5" customHeight="1" x14ac:dyDescent="0.25">
      <c r="A18" s="5" t="s">
        <v>147</v>
      </c>
      <c r="B18" s="6" t="s">
        <v>148</v>
      </c>
      <c r="C18" s="6" t="s">
        <v>160</v>
      </c>
      <c r="D18" s="6" t="s">
        <v>26</v>
      </c>
      <c r="E18" s="6" t="s">
        <v>138</v>
      </c>
      <c r="F18" s="7">
        <v>888</v>
      </c>
      <c r="G18" s="7">
        <v>888</v>
      </c>
      <c r="H18" s="7">
        <v>0</v>
      </c>
      <c r="I18" s="8">
        <v>45906</v>
      </c>
    </row>
    <row r="19" spans="1:9" ht="14.25" customHeight="1" x14ac:dyDescent="0.25">
      <c r="A19" s="5" t="s">
        <v>35</v>
      </c>
      <c r="B19" s="6" t="s">
        <v>36</v>
      </c>
      <c r="C19" s="6" t="s">
        <v>11</v>
      </c>
      <c r="D19" s="6" t="s">
        <v>23</v>
      </c>
      <c r="E19" s="6" t="s">
        <v>11</v>
      </c>
      <c r="F19" s="7">
        <v>767</v>
      </c>
      <c r="G19" s="7">
        <v>767</v>
      </c>
      <c r="H19" s="7">
        <v>0</v>
      </c>
      <c r="I19" s="8">
        <v>45905</v>
      </c>
    </row>
    <row r="20" spans="1:9" ht="28.5" customHeight="1" x14ac:dyDescent="0.25">
      <c r="A20" s="5" t="s">
        <v>139</v>
      </c>
      <c r="B20" s="6" t="s">
        <v>140</v>
      </c>
      <c r="C20" s="6" t="s">
        <v>160</v>
      </c>
      <c r="D20" s="6" t="s">
        <v>26</v>
      </c>
      <c r="E20" s="6" t="s">
        <v>46</v>
      </c>
      <c r="F20" s="7">
        <v>140</v>
      </c>
      <c r="G20" s="7">
        <v>139</v>
      </c>
      <c r="H20" s="7">
        <v>1</v>
      </c>
      <c r="I20" s="8">
        <v>46065</v>
      </c>
    </row>
    <row r="21" spans="1:9" ht="28.5" customHeight="1" x14ac:dyDescent="0.25">
      <c r="A21" s="5" t="s">
        <v>73</v>
      </c>
      <c r="B21" s="6" t="s">
        <v>74</v>
      </c>
      <c r="C21" s="6" t="s">
        <v>160</v>
      </c>
      <c r="D21" s="6" t="s">
        <v>66</v>
      </c>
      <c r="E21" s="6" t="s">
        <v>51</v>
      </c>
      <c r="F21" s="7">
        <v>1053</v>
      </c>
      <c r="G21" s="7">
        <v>1052</v>
      </c>
      <c r="H21" s="7">
        <v>1</v>
      </c>
      <c r="I21" s="8">
        <v>45846</v>
      </c>
    </row>
    <row r="22" spans="1:9" ht="14.25" customHeight="1" x14ac:dyDescent="0.25">
      <c r="A22" s="5" t="s">
        <v>126</v>
      </c>
      <c r="B22" s="6" t="s">
        <v>127</v>
      </c>
      <c r="C22" s="6" t="s">
        <v>45</v>
      </c>
      <c r="D22" s="6" t="s">
        <v>115</v>
      </c>
      <c r="E22" s="6" t="s">
        <v>51</v>
      </c>
      <c r="F22" s="7">
        <v>16</v>
      </c>
      <c r="G22" s="7">
        <v>16</v>
      </c>
      <c r="H22" s="7">
        <v>0</v>
      </c>
      <c r="I22" s="8">
        <v>46190</v>
      </c>
    </row>
    <row r="23" spans="1:9" ht="28.5" customHeight="1" x14ac:dyDescent="0.25">
      <c r="A23" s="5" t="s">
        <v>24</v>
      </c>
      <c r="B23" s="6" t="s">
        <v>25</v>
      </c>
      <c r="C23" s="6" t="s">
        <v>11</v>
      </c>
      <c r="D23" s="6" t="s">
        <v>26</v>
      </c>
      <c r="E23" s="6" t="s">
        <v>27</v>
      </c>
      <c r="F23" s="7">
        <v>1385</v>
      </c>
      <c r="G23" s="7">
        <v>1385</v>
      </c>
      <c r="H23" s="7">
        <v>0</v>
      </c>
      <c r="I23" s="8">
        <v>45750</v>
      </c>
    </row>
    <row r="24" spans="1:9" ht="14.25" customHeight="1" x14ac:dyDescent="0.25">
      <c r="A24" s="5" t="s">
        <v>43</v>
      </c>
      <c r="B24" s="6" t="s">
        <v>44</v>
      </c>
      <c r="C24" s="6" t="s">
        <v>45</v>
      </c>
      <c r="D24" s="6" t="s">
        <v>23</v>
      </c>
      <c r="E24" s="6" t="s">
        <v>46</v>
      </c>
      <c r="F24" s="7">
        <v>13</v>
      </c>
      <c r="G24" s="7">
        <v>13</v>
      </c>
      <c r="H24" s="7">
        <v>0</v>
      </c>
      <c r="I24" s="8">
        <v>46171</v>
      </c>
    </row>
    <row r="25" spans="1:9" ht="28.5" customHeight="1" x14ac:dyDescent="0.25">
      <c r="A25" s="5" t="s">
        <v>69</v>
      </c>
      <c r="B25" s="6" t="s">
        <v>70</v>
      </c>
      <c r="C25" s="6" t="s">
        <v>45</v>
      </c>
      <c r="D25" s="6" t="s">
        <v>66</v>
      </c>
      <c r="E25" s="6" t="s">
        <v>46</v>
      </c>
      <c r="F25" s="7">
        <v>218</v>
      </c>
      <c r="G25" s="7">
        <v>218</v>
      </c>
      <c r="H25" s="7">
        <v>0</v>
      </c>
      <c r="I25" s="8">
        <v>45923</v>
      </c>
    </row>
    <row r="26" spans="1:9" ht="14.25" customHeight="1" x14ac:dyDescent="0.25">
      <c r="A26" s="5" t="s">
        <v>132</v>
      </c>
      <c r="B26" s="6" t="s">
        <v>133</v>
      </c>
      <c r="C26" s="6" t="s">
        <v>11</v>
      </c>
      <c r="D26" s="6" t="s">
        <v>26</v>
      </c>
      <c r="E26" s="6" t="s">
        <v>11</v>
      </c>
      <c r="F26" s="7">
        <v>19</v>
      </c>
      <c r="G26" s="7">
        <v>18</v>
      </c>
      <c r="H26" s="7">
        <v>1</v>
      </c>
      <c r="I26" s="8">
        <v>46196</v>
      </c>
    </row>
    <row r="27" spans="1:9" ht="14.25" customHeight="1" x14ac:dyDescent="0.25">
      <c r="A27" s="5" t="s">
        <v>54</v>
      </c>
      <c r="B27" s="6" t="s">
        <v>55</v>
      </c>
      <c r="C27" s="6" t="s">
        <v>160</v>
      </c>
      <c r="D27" s="6" t="s">
        <v>26</v>
      </c>
      <c r="E27" s="6" t="s">
        <v>11</v>
      </c>
      <c r="F27" s="7">
        <v>100</v>
      </c>
      <c r="G27" s="7">
        <v>100</v>
      </c>
      <c r="H27" s="7">
        <v>0</v>
      </c>
      <c r="I27" s="8">
        <v>45979</v>
      </c>
    </row>
    <row r="28" spans="1:9" ht="14.25" customHeight="1" x14ac:dyDescent="0.25">
      <c r="A28" s="5" t="s">
        <v>151</v>
      </c>
      <c r="B28" s="6" t="s">
        <v>152</v>
      </c>
      <c r="C28" s="6" t="s">
        <v>11</v>
      </c>
      <c r="D28" s="6" t="s">
        <v>30</v>
      </c>
      <c r="E28" s="6" t="s">
        <v>11</v>
      </c>
      <c r="F28" s="7">
        <v>54</v>
      </c>
      <c r="G28" s="7">
        <v>48</v>
      </c>
      <c r="H28" s="7">
        <v>6</v>
      </c>
      <c r="I28" s="8">
        <v>46158</v>
      </c>
    </row>
    <row r="29" spans="1:9" ht="28.5" customHeight="1" x14ac:dyDescent="0.25">
      <c r="A29" s="5" t="s">
        <v>145</v>
      </c>
      <c r="B29" s="6" t="s">
        <v>146</v>
      </c>
      <c r="C29" s="6" t="s">
        <v>160</v>
      </c>
      <c r="D29" s="6" t="s">
        <v>26</v>
      </c>
      <c r="E29" s="6" t="s">
        <v>138</v>
      </c>
      <c r="F29" s="7">
        <v>322</v>
      </c>
      <c r="G29" s="7">
        <v>322</v>
      </c>
      <c r="H29" s="7">
        <v>0</v>
      </c>
      <c r="I29" s="8">
        <v>45834</v>
      </c>
    </row>
    <row r="30" spans="1:9" ht="14.25" customHeight="1" x14ac:dyDescent="0.25">
      <c r="A30" s="5" t="s">
        <v>134</v>
      </c>
      <c r="B30" s="6" t="s">
        <v>135</v>
      </c>
      <c r="C30" s="6" t="s">
        <v>45</v>
      </c>
      <c r="D30" s="6" t="s">
        <v>159</v>
      </c>
      <c r="E30" s="6" t="s">
        <v>11</v>
      </c>
      <c r="F30" s="7">
        <v>25</v>
      </c>
      <c r="G30" s="7">
        <v>23</v>
      </c>
      <c r="H30" s="7">
        <v>2</v>
      </c>
      <c r="I30" s="8">
        <v>46158</v>
      </c>
    </row>
    <row r="31" spans="1:9" ht="14.25" customHeight="1" x14ac:dyDescent="0.25">
      <c r="A31" s="5" t="s">
        <v>79</v>
      </c>
      <c r="B31" s="6" t="s">
        <v>80</v>
      </c>
      <c r="C31" s="6" t="s">
        <v>160</v>
      </c>
      <c r="D31" s="6" t="s">
        <v>26</v>
      </c>
      <c r="E31" s="6" t="s">
        <v>51</v>
      </c>
      <c r="F31" s="7">
        <v>736</v>
      </c>
      <c r="G31" s="7">
        <v>593</v>
      </c>
      <c r="H31" s="7">
        <v>143</v>
      </c>
      <c r="I31" s="8">
        <v>45864</v>
      </c>
    </row>
    <row r="32" spans="1:9" ht="14.25" customHeight="1" x14ac:dyDescent="0.25">
      <c r="A32" s="5" t="s">
        <v>128</v>
      </c>
      <c r="B32" s="6" t="s">
        <v>129</v>
      </c>
      <c r="C32" s="6" t="s">
        <v>45</v>
      </c>
      <c r="D32" s="6" t="s">
        <v>115</v>
      </c>
      <c r="E32" s="6" t="s">
        <v>51</v>
      </c>
      <c r="F32" s="7">
        <v>175</v>
      </c>
      <c r="G32" s="7">
        <v>173</v>
      </c>
      <c r="H32" s="7">
        <v>2</v>
      </c>
      <c r="I32" s="8">
        <v>45667</v>
      </c>
    </row>
    <row r="33" spans="1:9" ht="28.5" customHeight="1" x14ac:dyDescent="0.25">
      <c r="A33" s="5" t="s">
        <v>37</v>
      </c>
      <c r="B33" s="6" t="s">
        <v>38</v>
      </c>
      <c r="C33" s="6" t="s">
        <v>11</v>
      </c>
      <c r="D33" s="6" t="s">
        <v>12</v>
      </c>
      <c r="E33" s="6" t="s">
        <v>11</v>
      </c>
      <c r="F33" s="7">
        <v>40</v>
      </c>
      <c r="G33" s="7">
        <v>34</v>
      </c>
      <c r="H33" s="7">
        <v>6</v>
      </c>
      <c r="I33" s="8">
        <v>46038</v>
      </c>
    </row>
    <row r="34" spans="1:9" ht="28.5" customHeight="1" x14ac:dyDescent="0.25">
      <c r="A34" s="5" t="s">
        <v>62</v>
      </c>
      <c r="B34" s="6" t="s">
        <v>63</v>
      </c>
      <c r="C34" s="6" t="s">
        <v>11</v>
      </c>
      <c r="D34" s="6" t="s">
        <v>12</v>
      </c>
      <c r="E34" s="6" t="s">
        <v>11</v>
      </c>
      <c r="F34" s="7">
        <v>23</v>
      </c>
      <c r="G34" s="7">
        <v>17</v>
      </c>
      <c r="H34" s="7">
        <v>6</v>
      </c>
      <c r="I34" s="8">
        <v>46196</v>
      </c>
    </row>
    <row r="35" spans="1:9" ht="14.25" customHeight="1" x14ac:dyDescent="0.25">
      <c r="A35" s="5" t="s">
        <v>109</v>
      </c>
      <c r="B35" s="6" t="s">
        <v>110</v>
      </c>
      <c r="C35" s="6" t="s">
        <v>11</v>
      </c>
      <c r="D35" s="6" t="s">
        <v>26</v>
      </c>
      <c r="E35" s="6" t="s">
        <v>11</v>
      </c>
      <c r="F35" s="7">
        <v>66</v>
      </c>
      <c r="G35" s="7">
        <v>66</v>
      </c>
      <c r="H35" s="7">
        <v>0</v>
      </c>
      <c r="I35" s="8">
        <v>45694</v>
      </c>
    </row>
    <row r="36" spans="1:9" ht="28.5" customHeight="1" x14ac:dyDescent="0.25">
      <c r="A36" s="5" t="s">
        <v>56</v>
      </c>
      <c r="B36" s="6" t="s">
        <v>57</v>
      </c>
      <c r="C36" s="6" t="s">
        <v>11</v>
      </c>
      <c r="D36" s="6" t="s">
        <v>12</v>
      </c>
      <c r="E36" s="6" t="s">
        <v>11</v>
      </c>
      <c r="F36" s="7">
        <v>187</v>
      </c>
      <c r="G36" s="7">
        <v>187</v>
      </c>
      <c r="H36" s="7">
        <v>0</v>
      </c>
      <c r="I36" s="8">
        <v>45477</v>
      </c>
    </row>
    <row r="37" spans="1:9" ht="14.25" customHeight="1" x14ac:dyDescent="0.25">
      <c r="A37" s="5" t="s">
        <v>98</v>
      </c>
      <c r="B37" s="6" t="s">
        <v>99</v>
      </c>
      <c r="C37" s="6" t="s">
        <v>11</v>
      </c>
      <c r="D37" s="6" t="s">
        <v>26</v>
      </c>
      <c r="E37" s="6" t="s">
        <v>11</v>
      </c>
      <c r="F37" s="7">
        <v>4</v>
      </c>
      <c r="G37" s="7">
        <v>4</v>
      </c>
      <c r="H37" s="7">
        <v>0</v>
      </c>
      <c r="I37" s="8">
        <v>45909</v>
      </c>
    </row>
    <row r="38" spans="1:9" ht="28.5" customHeight="1" x14ac:dyDescent="0.25">
      <c r="A38" s="5" t="s">
        <v>90</v>
      </c>
      <c r="B38" s="6" t="s">
        <v>91</v>
      </c>
      <c r="C38" s="6" t="s">
        <v>11</v>
      </c>
      <c r="D38" s="6" t="s">
        <v>34</v>
      </c>
      <c r="E38" s="6" t="s">
        <v>11</v>
      </c>
      <c r="F38" s="7">
        <v>22</v>
      </c>
      <c r="G38" s="7">
        <v>20</v>
      </c>
      <c r="H38" s="7">
        <v>2</v>
      </c>
      <c r="I38" s="8">
        <v>45749</v>
      </c>
    </row>
    <row r="39" spans="1:9" ht="28.5" customHeight="1" x14ac:dyDescent="0.25">
      <c r="A39" s="5" t="s">
        <v>136</v>
      </c>
      <c r="B39" s="6" t="s">
        <v>137</v>
      </c>
      <c r="C39" s="6" t="s">
        <v>160</v>
      </c>
      <c r="D39" s="6" t="s">
        <v>26</v>
      </c>
      <c r="E39" s="6" t="s">
        <v>138</v>
      </c>
      <c r="F39" s="7">
        <v>325</v>
      </c>
      <c r="G39" s="7">
        <v>325</v>
      </c>
      <c r="H39" s="7">
        <v>0</v>
      </c>
      <c r="I39" s="8">
        <v>44939</v>
      </c>
    </row>
    <row r="40" spans="1:9" ht="14.25" customHeight="1" x14ac:dyDescent="0.25">
      <c r="A40" s="5" t="s">
        <v>47</v>
      </c>
      <c r="B40" s="6" t="s">
        <v>48</v>
      </c>
      <c r="C40" s="6" t="s">
        <v>11</v>
      </c>
      <c r="D40" s="6" t="s">
        <v>23</v>
      </c>
      <c r="E40" s="6" t="s">
        <v>11</v>
      </c>
      <c r="F40" s="7">
        <v>5</v>
      </c>
      <c r="G40" s="7">
        <v>5</v>
      </c>
      <c r="H40" s="7">
        <v>0</v>
      </c>
      <c r="I40" s="8">
        <v>45595</v>
      </c>
    </row>
    <row r="41" spans="1:9" ht="14.25" customHeight="1" x14ac:dyDescent="0.25">
      <c r="A41" s="5" t="s">
        <v>157</v>
      </c>
      <c r="B41" s="6" t="s">
        <v>158</v>
      </c>
      <c r="C41" s="6" t="s">
        <v>11</v>
      </c>
      <c r="D41" s="6" t="s">
        <v>23</v>
      </c>
      <c r="E41" s="6" t="s">
        <v>11</v>
      </c>
      <c r="F41" s="7">
        <v>3</v>
      </c>
      <c r="G41" s="7">
        <v>3</v>
      </c>
      <c r="H41" s="7">
        <v>0</v>
      </c>
      <c r="I41" s="8">
        <v>45546</v>
      </c>
    </row>
    <row r="42" spans="1:9" ht="14.25" customHeight="1" x14ac:dyDescent="0.25">
      <c r="A42" s="5" t="s">
        <v>83</v>
      </c>
      <c r="B42" s="6" t="s">
        <v>84</v>
      </c>
      <c r="C42" s="6" t="s">
        <v>11</v>
      </c>
      <c r="D42" s="6" t="s">
        <v>26</v>
      </c>
      <c r="E42" s="6" t="s">
        <v>46</v>
      </c>
      <c r="F42" s="7">
        <v>19</v>
      </c>
      <c r="G42" s="7">
        <v>19</v>
      </c>
      <c r="H42" s="7">
        <v>0</v>
      </c>
      <c r="I42" s="8">
        <v>45205</v>
      </c>
    </row>
    <row r="43" spans="1:9" ht="14.25" customHeight="1" x14ac:dyDescent="0.25">
      <c r="A43" s="5" t="s">
        <v>107</v>
      </c>
      <c r="B43" s="6" t="s">
        <v>108</v>
      </c>
      <c r="C43" s="6" t="s">
        <v>11</v>
      </c>
      <c r="D43" s="6" t="s">
        <v>26</v>
      </c>
      <c r="E43" s="6" t="s">
        <v>11</v>
      </c>
      <c r="F43" s="7">
        <v>10</v>
      </c>
      <c r="G43" s="7">
        <v>10</v>
      </c>
      <c r="H43" s="7">
        <v>0</v>
      </c>
      <c r="I43" s="8">
        <v>45115</v>
      </c>
    </row>
    <row r="44" spans="1:9" ht="14.25" customHeight="1" x14ac:dyDescent="0.25">
      <c r="A44" s="5" t="s">
        <v>77</v>
      </c>
      <c r="B44" s="6" t="s">
        <v>78</v>
      </c>
      <c r="C44" s="6" t="s">
        <v>11</v>
      </c>
      <c r="D44" s="6" t="s">
        <v>30</v>
      </c>
      <c r="E44" s="6" t="s">
        <v>46</v>
      </c>
      <c r="F44" s="7">
        <v>6</v>
      </c>
      <c r="G44" s="7">
        <v>5</v>
      </c>
      <c r="H44" s="7">
        <v>1</v>
      </c>
      <c r="I44" s="8">
        <v>45552</v>
      </c>
    </row>
    <row r="45" spans="1:9" ht="14.25" customHeight="1" x14ac:dyDescent="0.25">
      <c r="A45" s="5" t="s">
        <v>111</v>
      </c>
      <c r="B45" s="6" t="s">
        <v>112</v>
      </c>
      <c r="C45" s="6" t="s">
        <v>11</v>
      </c>
      <c r="D45" s="6" t="s">
        <v>30</v>
      </c>
      <c r="E45" s="6" t="s">
        <v>11</v>
      </c>
      <c r="F45" s="7">
        <v>6</v>
      </c>
      <c r="G45" s="7">
        <v>6</v>
      </c>
      <c r="H45" s="7">
        <v>0</v>
      </c>
      <c r="I45" s="8">
        <v>44974</v>
      </c>
    </row>
    <row r="46" spans="1:9" ht="14.25" customHeight="1" x14ac:dyDescent="0.25">
      <c r="A46" s="5" t="s">
        <v>17</v>
      </c>
      <c r="B46" s="6" t="s">
        <v>18</v>
      </c>
      <c r="C46" s="6" t="s">
        <v>11</v>
      </c>
      <c r="D46" s="6" t="s">
        <v>12</v>
      </c>
      <c r="E46" s="6" t="s">
        <v>11</v>
      </c>
      <c r="F46" s="7">
        <v>5</v>
      </c>
      <c r="G46" s="7">
        <v>5</v>
      </c>
      <c r="H46" s="7">
        <v>0</v>
      </c>
      <c r="I46" s="8">
        <v>44909</v>
      </c>
    </row>
    <row r="47" spans="1:9" ht="28.5" customHeight="1" x14ac:dyDescent="0.25">
      <c r="A47" s="5" t="s">
        <v>87</v>
      </c>
      <c r="B47" s="6" t="s">
        <v>88</v>
      </c>
      <c r="C47" s="6" t="s">
        <v>11</v>
      </c>
      <c r="D47" s="6" t="s">
        <v>34</v>
      </c>
      <c r="E47" s="6" t="s">
        <v>11</v>
      </c>
      <c r="F47" s="7">
        <v>1</v>
      </c>
      <c r="G47" s="7">
        <v>1</v>
      </c>
      <c r="H47" s="7">
        <v>0</v>
      </c>
      <c r="I47" s="8">
        <v>45072</v>
      </c>
    </row>
    <row r="48" spans="1:9" ht="14.25" customHeight="1" x14ac:dyDescent="0.25">
      <c r="A48" s="5" t="s">
        <v>60</v>
      </c>
      <c r="B48" s="6" t="s">
        <v>61</v>
      </c>
      <c r="C48" s="6" t="s">
        <v>11</v>
      </c>
      <c r="D48" s="6" t="s">
        <v>34</v>
      </c>
      <c r="E48" s="6" t="s">
        <v>11</v>
      </c>
      <c r="F48" s="7">
        <v>4707</v>
      </c>
      <c r="G48" s="7">
        <v>2307</v>
      </c>
      <c r="H48" s="7">
        <v>2400</v>
      </c>
      <c r="I48" s="8">
        <v>45115</v>
      </c>
    </row>
    <row r="49" spans="1:9" ht="14.25" customHeight="1" x14ac:dyDescent="0.25">
      <c r="A49" s="5" t="s">
        <v>116</v>
      </c>
      <c r="B49" s="6" t="s">
        <v>117</v>
      </c>
      <c r="C49" s="6" t="s">
        <v>45</v>
      </c>
      <c r="D49" s="6" t="s">
        <v>115</v>
      </c>
      <c r="E49" s="6" t="s">
        <v>51</v>
      </c>
      <c r="F49" s="7">
        <v>1</v>
      </c>
      <c r="G49" s="7">
        <v>1</v>
      </c>
      <c r="H49" s="7">
        <v>0</v>
      </c>
      <c r="I49" s="8">
        <v>44972</v>
      </c>
    </row>
    <row r="50" spans="1:9" ht="14.25" customHeight="1" x14ac:dyDescent="0.25">
      <c r="A50" s="5" t="s">
        <v>32</v>
      </c>
      <c r="B50" s="6" t="s">
        <v>33</v>
      </c>
      <c r="C50" s="6" t="s">
        <v>11</v>
      </c>
      <c r="D50" s="6" t="s">
        <v>34</v>
      </c>
      <c r="E50" s="6" t="s">
        <v>11</v>
      </c>
      <c r="F50" s="7">
        <v>2</v>
      </c>
      <c r="G50" s="7">
        <v>1</v>
      </c>
      <c r="H50" s="7">
        <v>1</v>
      </c>
      <c r="I50" s="8">
        <v>45969</v>
      </c>
    </row>
    <row r="51" spans="1:9" ht="28.5" customHeight="1" x14ac:dyDescent="0.25">
      <c r="A51" s="5" t="s">
        <v>143</v>
      </c>
      <c r="B51" s="6" t="s">
        <v>144</v>
      </c>
      <c r="C51" s="6" t="s">
        <v>160</v>
      </c>
      <c r="D51" s="6" t="s">
        <v>26</v>
      </c>
      <c r="E51" s="6" t="s">
        <v>46</v>
      </c>
      <c r="F51" s="7">
        <v>38</v>
      </c>
      <c r="G51" s="7">
        <v>38</v>
      </c>
      <c r="H51" s="7">
        <v>0</v>
      </c>
      <c r="I51" s="8">
        <v>42229</v>
      </c>
    </row>
    <row r="52" spans="1:9" ht="28.5" customHeight="1" x14ac:dyDescent="0.25">
      <c r="A52" s="5" t="s">
        <v>21</v>
      </c>
      <c r="B52" s="6" t="s">
        <v>22</v>
      </c>
      <c r="C52" s="6" t="s">
        <v>11</v>
      </c>
      <c r="D52" s="6" t="s">
        <v>23</v>
      </c>
      <c r="E52" s="6" t="s">
        <v>11</v>
      </c>
      <c r="F52" s="7">
        <v>102</v>
      </c>
      <c r="G52" s="7">
        <v>68</v>
      </c>
      <c r="H52" s="7">
        <v>34</v>
      </c>
      <c r="I52" s="8">
        <v>44961</v>
      </c>
    </row>
    <row r="53" spans="1:9" ht="28.5" customHeight="1" x14ac:dyDescent="0.25">
      <c r="A53" s="5" t="s">
        <v>100</v>
      </c>
      <c r="B53" s="6" t="s">
        <v>101</v>
      </c>
      <c r="C53" s="6" t="s">
        <v>11</v>
      </c>
      <c r="D53" s="6" t="s">
        <v>26</v>
      </c>
      <c r="E53" s="6" t="s">
        <v>11</v>
      </c>
      <c r="F53" s="7">
        <v>3</v>
      </c>
      <c r="G53" s="7">
        <v>1</v>
      </c>
      <c r="H53" s="7">
        <v>2</v>
      </c>
      <c r="I53" s="8">
        <v>46109</v>
      </c>
    </row>
    <row r="54" spans="1:9" ht="14.25" customHeight="1" x14ac:dyDescent="0.25">
      <c r="A54" s="5" t="s">
        <v>15</v>
      </c>
      <c r="B54" s="6" t="s">
        <v>16</v>
      </c>
      <c r="C54" s="6" t="s">
        <v>11</v>
      </c>
      <c r="D54" s="6" t="s">
        <v>12</v>
      </c>
      <c r="E54" s="6" t="s">
        <v>11</v>
      </c>
      <c r="F54" s="7">
        <v>16</v>
      </c>
      <c r="G54" s="7">
        <v>16</v>
      </c>
      <c r="H54" s="7">
        <v>0</v>
      </c>
      <c r="I54" s="8">
        <v>42497</v>
      </c>
    </row>
    <row r="55" spans="1:9" ht="28.5" customHeight="1" x14ac:dyDescent="0.25">
      <c r="A55" s="5" t="s">
        <v>92</v>
      </c>
      <c r="B55" s="6" t="s">
        <v>93</v>
      </c>
      <c r="C55" s="6" t="s">
        <v>11</v>
      </c>
      <c r="D55" s="6" t="s">
        <v>26</v>
      </c>
      <c r="E55" s="6" t="s">
        <v>11</v>
      </c>
      <c r="F55" s="7">
        <v>5</v>
      </c>
      <c r="G55" s="7">
        <v>5</v>
      </c>
      <c r="H55" s="7">
        <v>0</v>
      </c>
      <c r="I55" s="8">
        <v>41536</v>
      </c>
    </row>
    <row r="56" spans="1:9" ht="14.25" customHeight="1" x14ac:dyDescent="0.25">
      <c r="A56" s="5" t="s">
        <v>149</v>
      </c>
      <c r="B56" s="6" t="s">
        <v>150</v>
      </c>
      <c r="C56" s="6" t="s">
        <v>11</v>
      </c>
      <c r="D56" s="6" t="s">
        <v>26</v>
      </c>
      <c r="E56" s="6" t="s">
        <v>11</v>
      </c>
      <c r="F56" s="7">
        <v>3</v>
      </c>
      <c r="G56" s="7">
        <v>3</v>
      </c>
      <c r="H56" s="7">
        <v>0</v>
      </c>
      <c r="I56" s="8">
        <v>41577</v>
      </c>
    </row>
    <row r="57" spans="1:9" ht="28.5" customHeight="1" x14ac:dyDescent="0.25">
      <c r="A57" s="5" t="s">
        <v>155</v>
      </c>
      <c r="B57" s="6" t="s">
        <v>156</v>
      </c>
      <c r="C57" s="6" t="s">
        <v>11</v>
      </c>
      <c r="D57" s="6" t="s">
        <v>30</v>
      </c>
      <c r="E57" s="6" t="s">
        <v>11</v>
      </c>
      <c r="F57" s="7">
        <v>33</v>
      </c>
      <c r="G57" s="7">
        <v>8</v>
      </c>
      <c r="H57" s="7">
        <v>25</v>
      </c>
      <c r="I57" s="8">
        <v>45759</v>
      </c>
    </row>
    <row r="58" spans="1:9" ht="28.5" customHeight="1" x14ac:dyDescent="0.25">
      <c r="A58" s="5" t="s">
        <v>19</v>
      </c>
      <c r="B58" s="6" t="s">
        <v>20</v>
      </c>
      <c r="C58" s="6" t="s">
        <v>11</v>
      </c>
      <c r="D58" s="6" t="s">
        <v>12</v>
      </c>
      <c r="E58" s="6" t="s">
        <v>11</v>
      </c>
      <c r="F58" s="7">
        <v>19</v>
      </c>
      <c r="G58" s="7">
        <v>7</v>
      </c>
      <c r="H58" s="7">
        <v>12</v>
      </c>
      <c r="I58" s="8">
        <v>45420</v>
      </c>
    </row>
    <row r="59" spans="1:9" ht="14.25" customHeight="1" x14ac:dyDescent="0.25">
      <c r="A59" s="5" t="s">
        <v>162</v>
      </c>
      <c r="B59" s="6" t="s">
        <v>102</v>
      </c>
      <c r="C59" s="6" t="s">
        <v>11</v>
      </c>
      <c r="D59" s="6" t="s">
        <v>26</v>
      </c>
      <c r="E59" s="6" t="s">
        <v>11</v>
      </c>
      <c r="F59" s="7">
        <v>169</v>
      </c>
      <c r="G59" s="7">
        <v>96</v>
      </c>
      <c r="H59" s="7">
        <v>73</v>
      </c>
      <c r="I59" s="8">
        <v>43431</v>
      </c>
    </row>
    <row r="60" spans="1:9" ht="28.5" customHeight="1" x14ac:dyDescent="0.25">
      <c r="A60" s="5" t="s">
        <v>141</v>
      </c>
      <c r="B60" s="6" t="s">
        <v>142</v>
      </c>
      <c r="C60" s="6" t="s">
        <v>160</v>
      </c>
      <c r="D60" s="6" t="s">
        <v>26</v>
      </c>
      <c r="E60" s="6" t="s">
        <v>46</v>
      </c>
      <c r="F60" s="7">
        <v>5</v>
      </c>
      <c r="G60" s="7">
        <v>3</v>
      </c>
      <c r="H60" s="7">
        <v>2</v>
      </c>
      <c r="I60" s="8">
        <v>44530</v>
      </c>
    </row>
    <row r="61" spans="1:9" ht="14.25" customHeight="1" x14ac:dyDescent="0.25">
      <c r="A61" s="5" t="s">
        <v>124</v>
      </c>
      <c r="B61" s="6" t="s">
        <v>125</v>
      </c>
      <c r="C61" s="6" t="s">
        <v>45</v>
      </c>
      <c r="D61" s="6" t="s">
        <v>115</v>
      </c>
      <c r="E61" s="6" t="s">
        <v>46</v>
      </c>
      <c r="F61" s="7">
        <v>6</v>
      </c>
      <c r="G61" s="7">
        <v>0</v>
      </c>
      <c r="H61" s="7">
        <v>6</v>
      </c>
      <c r="I61" s="8">
        <v>46031</v>
      </c>
    </row>
    <row r="62" spans="1:9" ht="14.25" customHeight="1" x14ac:dyDescent="0.25">
      <c r="A62" s="5" t="s">
        <v>120</v>
      </c>
      <c r="B62" s="6" t="s">
        <v>121</v>
      </c>
      <c r="C62" s="6" t="s">
        <v>45</v>
      </c>
      <c r="D62" s="6" t="s">
        <v>115</v>
      </c>
      <c r="E62" s="6" t="s">
        <v>51</v>
      </c>
      <c r="F62" s="7">
        <v>2</v>
      </c>
      <c r="G62" s="7">
        <v>1</v>
      </c>
      <c r="H62" s="7">
        <v>1</v>
      </c>
      <c r="I62" s="8">
        <v>44957</v>
      </c>
    </row>
    <row r="63" spans="1:9" ht="14.25" customHeight="1" x14ac:dyDescent="0.25">
      <c r="A63" s="5" t="s">
        <v>103</v>
      </c>
      <c r="B63" s="6" t="s">
        <v>104</v>
      </c>
      <c r="C63" s="6" t="s">
        <v>11</v>
      </c>
      <c r="D63" s="6" t="s">
        <v>26</v>
      </c>
      <c r="E63" s="6" t="s">
        <v>11</v>
      </c>
      <c r="F63" s="7">
        <v>53</v>
      </c>
      <c r="G63" s="7">
        <v>0</v>
      </c>
      <c r="H63" s="7">
        <v>53</v>
      </c>
      <c r="I63" s="8">
        <v>45608</v>
      </c>
    </row>
    <row r="64" spans="1:9" ht="14.25" customHeight="1" x14ac:dyDescent="0.25">
      <c r="A64" s="5" t="s">
        <v>118</v>
      </c>
      <c r="B64" s="6" t="s">
        <v>119</v>
      </c>
      <c r="C64" s="6" t="s">
        <v>45</v>
      </c>
      <c r="D64" s="6" t="s">
        <v>115</v>
      </c>
      <c r="E64" s="6" t="s">
        <v>46</v>
      </c>
      <c r="F64" s="7">
        <v>13</v>
      </c>
      <c r="G64" s="7">
        <v>0</v>
      </c>
      <c r="H64" s="7">
        <v>13</v>
      </c>
      <c r="I64" s="8">
        <v>45700</v>
      </c>
    </row>
    <row r="65" spans="1:9" ht="28.5" customHeight="1" x14ac:dyDescent="0.25">
      <c r="A65" s="5" t="s">
        <v>28</v>
      </c>
      <c r="B65" s="6" t="s">
        <v>29</v>
      </c>
      <c r="C65" s="6" t="s">
        <v>160</v>
      </c>
      <c r="D65" s="6" t="s">
        <v>30</v>
      </c>
      <c r="E65" s="6" t="s">
        <v>31</v>
      </c>
      <c r="F65" s="7">
        <v>3</v>
      </c>
      <c r="G65" s="7">
        <v>0</v>
      </c>
      <c r="H65" s="7">
        <v>3</v>
      </c>
      <c r="I65" s="8">
        <v>45747</v>
      </c>
    </row>
    <row r="66" spans="1:9" ht="28.5" customHeight="1" x14ac:dyDescent="0.25">
      <c r="A66" s="5" t="s">
        <v>96</v>
      </c>
      <c r="B66" s="6" t="s">
        <v>97</v>
      </c>
      <c r="C66" s="6" t="s">
        <v>11</v>
      </c>
      <c r="D66" s="6" t="s">
        <v>26</v>
      </c>
      <c r="E66" s="6" t="s">
        <v>11</v>
      </c>
      <c r="F66" s="7">
        <v>10</v>
      </c>
      <c r="G66" s="7">
        <v>4</v>
      </c>
      <c r="H66" s="7">
        <v>6</v>
      </c>
      <c r="I66" s="8">
        <v>41975</v>
      </c>
    </row>
    <row r="67" spans="1:9" ht="28.5" customHeight="1" x14ac:dyDescent="0.25">
      <c r="A67" s="5" t="s">
        <v>153</v>
      </c>
      <c r="B67" s="6" t="s">
        <v>154</v>
      </c>
      <c r="C67" s="6" t="s">
        <v>11</v>
      </c>
      <c r="D67" s="6" t="s">
        <v>30</v>
      </c>
      <c r="E67" s="6" t="s">
        <v>138</v>
      </c>
      <c r="F67" s="7">
        <v>92</v>
      </c>
      <c r="G67" s="7">
        <v>24</v>
      </c>
      <c r="H67" s="7">
        <v>68</v>
      </c>
      <c r="I67" s="8">
        <v>41390</v>
      </c>
    </row>
    <row r="68" spans="1:9" ht="14.25" customHeight="1" x14ac:dyDescent="0.25">
      <c r="A68" s="5" t="s">
        <v>9</v>
      </c>
      <c r="B68" s="6" t="s">
        <v>10</v>
      </c>
      <c r="C68" s="6" t="s">
        <v>11</v>
      </c>
      <c r="D68" s="6" t="s">
        <v>12</v>
      </c>
      <c r="E68" s="6" t="s">
        <v>11</v>
      </c>
      <c r="F68" s="7">
        <v>7</v>
      </c>
      <c r="G68" s="7">
        <v>0</v>
      </c>
      <c r="H68" s="7">
        <v>7</v>
      </c>
      <c r="I68" s="8">
        <v>45395</v>
      </c>
    </row>
    <row r="69" spans="1:9" ht="14.25" customHeight="1" x14ac:dyDescent="0.25">
      <c r="A69" s="5" t="s">
        <v>85</v>
      </c>
      <c r="B69" s="6" t="s">
        <v>86</v>
      </c>
      <c r="C69" s="6" t="s">
        <v>11</v>
      </c>
      <c r="D69" s="6" t="s">
        <v>26</v>
      </c>
      <c r="E69" s="6" t="s">
        <v>11</v>
      </c>
      <c r="F69" s="7">
        <v>36</v>
      </c>
      <c r="G69" s="7">
        <v>0</v>
      </c>
      <c r="H69" s="7">
        <v>36</v>
      </c>
      <c r="I69" s="8">
        <v>44943</v>
      </c>
    </row>
    <row r="70" spans="1:9" ht="28.5" customHeight="1" x14ac:dyDescent="0.25">
      <c r="A70" s="5" t="s">
        <v>94</v>
      </c>
      <c r="B70" s="6" t="s">
        <v>95</v>
      </c>
      <c r="C70" s="6" t="s">
        <v>11</v>
      </c>
      <c r="D70" s="6" t="s">
        <v>26</v>
      </c>
      <c r="E70" s="6" t="s">
        <v>11</v>
      </c>
      <c r="F70" s="7">
        <v>12</v>
      </c>
      <c r="G70" s="7">
        <v>0</v>
      </c>
      <c r="H70" s="7">
        <v>12</v>
      </c>
      <c r="I70" s="8">
        <v>41697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>
      <selection activeCell="F27" sqref="F27"/>
    </sheetView>
  </sheetViews>
  <sheetFormatPr defaultColWidth="8.7109375" defaultRowHeight="15" x14ac:dyDescent="0.25"/>
  <cols>
    <col min="1" max="1" width="30" customWidth="1"/>
    <col min="2" max="2" width="18" customWidth="1"/>
    <col min="3" max="3" width="20" customWidth="1"/>
    <col min="4" max="4" width="48" customWidth="1"/>
  </cols>
  <sheetData>
    <row r="1" spans="1:4" ht="20.25" customHeight="1" x14ac:dyDescent="0.25">
      <c r="A1" s="23" t="s">
        <v>163</v>
      </c>
      <c r="B1" s="23"/>
      <c r="C1" s="23"/>
      <c r="D1" s="23"/>
    </row>
    <row r="2" spans="1:4" ht="15" customHeight="1" x14ac:dyDescent="0.25">
      <c r="A2" s="4" t="s">
        <v>164</v>
      </c>
      <c r="B2" s="4" t="s">
        <v>165</v>
      </c>
      <c r="C2" s="4" t="s">
        <v>166</v>
      </c>
      <c r="D2" s="4" t="s">
        <v>167</v>
      </c>
    </row>
    <row r="3" spans="1:4" ht="14.25" customHeight="1" x14ac:dyDescent="0.25">
      <c r="A3" s="9" t="s">
        <v>168</v>
      </c>
      <c r="B3" s="10">
        <v>0.4</v>
      </c>
      <c r="C3" s="9" t="s">
        <v>169</v>
      </c>
      <c r="D3" s="9" t="s">
        <v>170</v>
      </c>
    </row>
    <row r="4" spans="1:4" ht="14.25" customHeight="1" x14ac:dyDescent="0.25">
      <c r="A4" s="9" t="s">
        <v>171</v>
      </c>
      <c r="B4" s="10">
        <v>0.35</v>
      </c>
      <c r="C4" s="9" t="s">
        <v>169</v>
      </c>
      <c r="D4" s="9" t="s">
        <v>172</v>
      </c>
    </row>
    <row r="5" spans="1:4" ht="14.25" customHeight="1" x14ac:dyDescent="0.25">
      <c r="A5" s="9" t="s">
        <v>173</v>
      </c>
      <c r="B5" s="10">
        <v>0.25</v>
      </c>
      <c r="C5" s="9" t="s">
        <v>169</v>
      </c>
      <c r="D5" s="9" t="s">
        <v>174</v>
      </c>
    </row>
    <row r="6" spans="1:4" ht="14.25" customHeight="1" x14ac:dyDescent="0.25">
      <c r="A6" s="9" t="s">
        <v>175</v>
      </c>
      <c r="B6" s="11">
        <v>730</v>
      </c>
      <c r="C6" s="9" t="s">
        <v>176</v>
      </c>
      <c r="D6" s="9" t="s">
        <v>177</v>
      </c>
    </row>
    <row r="7" spans="1:4" ht="14.25" customHeight="1" x14ac:dyDescent="0.25">
      <c r="A7" s="9" t="s">
        <v>178</v>
      </c>
      <c r="B7" s="12">
        <v>46198</v>
      </c>
      <c r="C7" s="9" t="s">
        <v>179</v>
      </c>
      <c r="D7" s="9" t="s">
        <v>180</v>
      </c>
    </row>
    <row r="8" spans="1:4" ht="14.25" customHeight="1" x14ac:dyDescent="0.25">
      <c r="A8" s="9" t="s">
        <v>181</v>
      </c>
      <c r="B8" s="10">
        <f>SUM(B3:B5)</f>
        <v>1</v>
      </c>
      <c r="C8" s="9" t="s">
        <v>182</v>
      </c>
      <c r="D8" s="9" t="s">
        <v>183</v>
      </c>
    </row>
    <row r="9" spans="1:4" ht="15" customHeight="1" x14ac:dyDescent="0.25">
      <c r="A9" s="9" t="s">
        <v>184</v>
      </c>
      <c r="B9" s="11">
        <f>MAX(Base_Tratada!F2:F70)</f>
        <v>21273</v>
      </c>
      <c r="C9" s="9" t="s">
        <v>185</v>
      </c>
      <c r="D9" s="9" t="s">
        <v>186</v>
      </c>
    </row>
    <row r="10" spans="1:4" ht="14.25" customHeight="1" x14ac:dyDescent="0.25">
      <c r="A10" s="9" t="s">
        <v>187</v>
      </c>
      <c r="B10" s="9" t="str">
        <f>IF(ABS(B8-1)&lt;0.000001,"OK","AJUSTAR PESOS")</f>
        <v>OK</v>
      </c>
      <c r="C10" s="9" t="s">
        <v>188</v>
      </c>
      <c r="D10" s="9" t="s">
        <v>189</v>
      </c>
    </row>
    <row r="11" spans="1:4" ht="14.25" customHeight="1" x14ac:dyDescent="0.25">
      <c r="A11" s="9"/>
      <c r="B11" s="9"/>
      <c r="C11" s="9"/>
      <c r="D11" s="9"/>
    </row>
    <row r="12" spans="1:4" ht="14.25" customHeight="1" x14ac:dyDescent="0.25">
      <c r="A12" s="13" t="s">
        <v>190</v>
      </c>
      <c r="B12" s="14">
        <v>80</v>
      </c>
      <c r="C12" s="13" t="s">
        <v>191</v>
      </c>
      <c r="D12" s="13" t="s">
        <v>192</v>
      </c>
    </row>
    <row r="13" spans="1:4" ht="14.25" customHeight="1" x14ac:dyDescent="0.25">
      <c r="A13" s="13" t="s">
        <v>193</v>
      </c>
      <c r="B13" s="14">
        <v>60</v>
      </c>
      <c r="C13" s="13" t="s">
        <v>191</v>
      </c>
      <c r="D13" s="13" t="s">
        <v>194</v>
      </c>
    </row>
    <row r="14" spans="1:4" ht="14.25" customHeight="1" x14ac:dyDescent="0.25">
      <c r="A14" s="13" t="s">
        <v>195</v>
      </c>
      <c r="B14" s="14">
        <v>40</v>
      </c>
      <c r="C14" s="13" t="s">
        <v>191</v>
      </c>
      <c r="D14" s="13" t="s">
        <v>196</v>
      </c>
    </row>
    <row r="15" spans="1:4" ht="14.25" customHeight="1" x14ac:dyDescent="0.25">
      <c r="A15" s="13" t="s">
        <v>197</v>
      </c>
      <c r="B15" s="14">
        <v>20</v>
      </c>
      <c r="C15" s="13" t="s">
        <v>191</v>
      </c>
      <c r="D15" s="13" t="s">
        <v>198</v>
      </c>
    </row>
  </sheetData>
  <mergeCells count="1">
    <mergeCell ref="A1:D1"/>
  </mergeCells>
  <conditionalFormatting sqref="B9">
    <cfRule type="expression" dxfId="6" priority="2">
      <formula>B9&lt;&gt;"OK"</formula>
    </cfRule>
    <cfRule type="expression" dxfId="5" priority="3">
      <formula>B9="OK"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0"/>
  <sheetViews>
    <sheetView zoomScale="70" zoomScaleNormal="70" workbookViewId="0">
      <selection activeCell="I26" sqref="I26"/>
    </sheetView>
  </sheetViews>
  <sheetFormatPr defaultColWidth="8.7109375" defaultRowHeight="15" x14ac:dyDescent="0.25"/>
  <cols>
    <col min="1" max="1" width="15" customWidth="1"/>
    <col min="2" max="2" width="45" customWidth="1"/>
    <col min="3" max="3" width="18" customWidth="1"/>
    <col min="4" max="4" width="30" customWidth="1"/>
    <col min="5" max="5" width="18" customWidth="1"/>
    <col min="6" max="13" width="14" customWidth="1"/>
    <col min="14" max="14" width="12" customWidth="1"/>
    <col min="15" max="15" width="14" customWidth="1"/>
    <col min="16" max="19" width="13" customWidth="1"/>
    <col min="20" max="21" width="18" customWidth="1"/>
    <col min="22" max="22" width="15" customWidth="1"/>
  </cols>
  <sheetData>
    <row r="1" spans="1:22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199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  <c r="R1" s="4" t="s">
        <v>208</v>
      </c>
      <c r="S1" s="4" t="s">
        <v>209</v>
      </c>
      <c r="T1" s="4" t="s">
        <v>210</v>
      </c>
      <c r="U1" s="4" t="s">
        <v>211</v>
      </c>
      <c r="V1" s="4" t="s">
        <v>212</v>
      </c>
    </row>
    <row r="2" spans="1:22" ht="14.25" customHeight="1" x14ac:dyDescent="0.25">
      <c r="A2" t="str">
        <f>Base_Tratada!A2</f>
        <v>REG-20</v>
      </c>
      <c r="B2" s="9" t="str">
        <f>Base_Tratada!B2</f>
        <v>IBGE - Instituto Brasileiro de Geografia e Estatística</v>
      </c>
      <c r="C2" s="9" t="str">
        <f>Base_Tratada!C2</f>
        <v>Nacional</v>
      </c>
      <c r="D2" s="9" t="str">
        <f>Base_Tratada!D2</f>
        <v>Autarquia</v>
      </c>
      <c r="E2" s="9" t="str">
        <f>Base_Tratada!E2</f>
        <v>Nacional</v>
      </c>
      <c r="F2" s="15">
        <f>Base_Tratada!F2</f>
        <v>21273</v>
      </c>
      <c r="G2" s="15">
        <f>Base_Tratada!G2</f>
        <v>21194</v>
      </c>
      <c r="H2" s="15">
        <f>Base_Tratada!H2</f>
        <v>79</v>
      </c>
      <c r="I2" s="16">
        <f>Base_Tratada!I2</f>
        <v>46190</v>
      </c>
      <c r="J2" s="17">
        <f t="shared" ref="J2:J33" si="0">IFERROR(G2/F2,"")</f>
        <v>0.99628637239693507</v>
      </c>
      <c r="K2" s="17">
        <f>IF(I2="","",MAX(0,Parâmetros!$B$7-I2))</f>
        <v>8</v>
      </c>
      <c r="L2" s="17">
        <f>IF(I2="","",MIN(1,POWER(0.5,K2/Parâmetros!$B$6)))</f>
        <v>0.99243264422383437</v>
      </c>
      <c r="M2" s="17">
        <f>LN(1+F2)/LN(1+Parâmetros!$B$9)</f>
        <v>1</v>
      </c>
      <c r="N2" s="18">
        <f>100*(Parâmetros!$B$3*J2+Parâmetros!$B$4*L2+Parâmetros!$B$5*M2)</f>
        <v>99.586597443711611</v>
      </c>
      <c r="O2" t="str">
        <f>IF(N2&gt;=Parâmetros!$B$12,"A – Plena",IF(N2&gt;=Parâmetros!$B$13,"B – Alta",IF(N2&gt;=Parâmetros!$B$14,"C – Média",IF(N2&gt;=Parâmetros!$B$15,"D – Baixa","E – Incipiente"))))</f>
        <v>A – Plena</v>
      </c>
      <c r="P2" s="19">
        <f t="shared" ref="P2:P33" si="1">RANK(N2,$N$2:$N$70,0)</f>
        <v>1</v>
      </c>
      <c r="Q2" s="18">
        <f t="shared" ref="Q2:Q33" si="2">100*(J2+L2+M2)/3</f>
        <v>99.623967220692307</v>
      </c>
      <c r="R2" s="19">
        <f t="shared" ref="R2:R33" si="3">RANK(Q2,$Q$2:$Q$70,0)</f>
        <v>1</v>
      </c>
      <c r="S2" s="19">
        <f t="shared" ref="S2:S33" si="4">R2-P2</f>
        <v>0</v>
      </c>
      <c r="T2" t="str">
        <f>IF(Q2&gt;=Parâmetros!$B$12,"A – Plena",IF(Q2&gt;=Parâmetros!$B$13,"B – Alta",IF(Q2&gt;=Parâmetros!$B$14,"C – Média",IF(Q2&gt;=Parâmetros!$B$15,"D – Baixa","E – Incipiente"))))</f>
        <v>A – Plena</v>
      </c>
      <c r="U2" t="str">
        <f t="shared" ref="U2:U33" si="5">IF(O2=T2,"Não","Sim")</f>
        <v>Não</v>
      </c>
      <c r="V2" s="20">
        <f t="shared" ref="V2:V33" si="6">N2*F2</f>
        <v>2118505.6874200772</v>
      </c>
    </row>
    <row r="3" spans="1:22" ht="28.5" customHeight="1" x14ac:dyDescent="0.25">
      <c r="A3" t="str">
        <f>Base_Tratada!A3</f>
        <v>REG-12</v>
      </c>
      <c r="B3" s="9" t="str">
        <f>Base_Tratada!B3</f>
        <v>EB/DSG - Diretoria de Serviço Geográfico do Exército Brasileiro</v>
      </c>
      <c r="C3" s="9" t="str">
        <f>Base_Tratada!C3</f>
        <v>Nacional</v>
      </c>
      <c r="D3" s="9" t="str">
        <f>Base_Tratada!D3</f>
        <v>Organização Militar</v>
      </c>
      <c r="E3" s="9" t="str">
        <f>Base_Tratada!E3</f>
        <v>Nacional</v>
      </c>
      <c r="F3" s="15">
        <f>Base_Tratada!F3</f>
        <v>19829</v>
      </c>
      <c r="G3" s="15">
        <f>Base_Tratada!G3</f>
        <v>19829</v>
      </c>
      <c r="H3" s="15">
        <f>Base_Tratada!H3</f>
        <v>0</v>
      </c>
      <c r="I3" s="16">
        <f>Base_Tratada!I3</f>
        <v>46189</v>
      </c>
      <c r="J3" s="17">
        <f t="shared" si="0"/>
        <v>1</v>
      </c>
      <c r="K3" s="17">
        <f>IF(I3="","",MAX(0,Parâmetros!$B$7-I3))</f>
        <v>9</v>
      </c>
      <c r="L3" s="17">
        <f>IF(I3="","",MIN(1,POWER(0.5,K3/Parâmetros!$B$6)))</f>
        <v>0.99149076010681991</v>
      </c>
      <c r="M3" s="17">
        <f>LN(1+F3)/LN(1+Parâmetros!$B$9)</f>
        <v>0.99294651000825507</v>
      </c>
      <c r="N3" s="18">
        <f>100*(Parâmetros!$B$3*J3+Parâmetros!$B$4*L3+Parâmetros!$B$5*M3)</f>
        <v>99.525839353945074</v>
      </c>
      <c r="O3" t="str">
        <f>IF(N3&gt;=Parâmetros!$B$12,"A – Plena",IF(N3&gt;=Parâmetros!$B$13,"B – Alta",IF(N3&gt;=Parâmetros!$B$14,"C – Média",IF(N3&gt;=Parâmetros!$B$15,"D – Baixa","E – Incipiente"))))</f>
        <v>A – Plena</v>
      </c>
      <c r="P3" s="19">
        <f t="shared" si="1"/>
        <v>2</v>
      </c>
      <c r="Q3" s="18">
        <f t="shared" si="2"/>
        <v>99.481242337169178</v>
      </c>
      <c r="R3" s="19">
        <f t="shared" si="3"/>
        <v>2</v>
      </c>
      <c r="S3" s="19">
        <f t="shared" si="4"/>
        <v>0</v>
      </c>
      <c r="T3" t="str">
        <f>IF(Q3&gt;=Parâmetros!$B$12,"A – Plena",IF(Q3&gt;=Parâmetros!$B$13,"B – Alta",IF(Q3&gt;=Parâmetros!$B$14,"C – Média",IF(Q3&gt;=Parâmetros!$B$15,"D – Baixa","E – Incipiente"))))</f>
        <v>A – Plena</v>
      </c>
      <c r="U3" t="str">
        <f t="shared" si="5"/>
        <v>Não</v>
      </c>
      <c r="V3" s="20">
        <f t="shared" si="6"/>
        <v>1973497.868549377</v>
      </c>
    </row>
    <row r="4" spans="1:22" ht="28.5" customHeight="1" x14ac:dyDescent="0.25">
      <c r="A4" t="str">
        <f>Base_Tratada!A4</f>
        <v>REG-13</v>
      </c>
      <c r="B4" s="9" t="str">
        <f>Base_Tratada!B4</f>
        <v>EMBRAPA - Empresa Brasileira de Pesquisa Agropecuária</v>
      </c>
      <c r="C4" s="9" t="str">
        <f>Base_Tratada!C4</f>
        <v>Nacional</v>
      </c>
      <c r="D4" s="9" t="str">
        <f>Base_Tratada!D4</f>
        <v>Empresa Pública</v>
      </c>
      <c r="E4" s="9" t="str">
        <f>Base_Tratada!E4</f>
        <v>Nacional</v>
      </c>
      <c r="F4" s="15">
        <f>Base_Tratada!F4</f>
        <v>2390</v>
      </c>
      <c r="G4" s="15">
        <f>Base_Tratada!G4</f>
        <v>2389</v>
      </c>
      <c r="H4" s="15">
        <f>Base_Tratada!H4</f>
        <v>1</v>
      </c>
      <c r="I4" s="16">
        <f>Base_Tratada!I4</f>
        <v>46191</v>
      </c>
      <c r="J4" s="17">
        <f t="shared" si="0"/>
        <v>0.99958158995815904</v>
      </c>
      <c r="K4" s="17">
        <f>IF(I4="","",MAX(0,Parâmetros!$B$7-I4))</f>
        <v>7</v>
      </c>
      <c r="L4" s="17">
        <f>IF(I4="","",MIN(1,POWER(0.5,K4/Parâmetros!$B$6)))</f>
        <v>0.99337542310026117</v>
      </c>
      <c r="M4" s="17">
        <f>LN(1+F4)/LN(1+Parâmetros!$B$9)</f>
        <v>0.78066019752247462</v>
      </c>
      <c r="N4" s="18">
        <f>100*(Parâmetros!$B$3*J4+Parâmetros!$B$4*L4+Parâmetros!$B$5*M4)</f>
        <v>94.267908344897364</v>
      </c>
      <c r="O4" t="str">
        <f>IF(N4&gt;=Parâmetros!$B$12,"A – Plena",IF(N4&gt;=Parâmetros!$B$13,"B – Alta",IF(N4&gt;=Parâmetros!$B$14,"C – Média",IF(N4&gt;=Parâmetros!$B$15,"D – Baixa","E – Incipiente"))))</f>
        <v>A – Plena</v>
      </c>
      <c r="P4" s="19">
        <f t="shared" si="1"/>
        <v>3</v>
      </c>
      <c r="Q4" s="18">
        <f t="shared" si="2"/>
        <v>92.453907019363157</v>
      </c>
      <c r="R4" s="19">
        <f t="shared" si="3"/>
        <v>3</v>
      </c>
      <c r="S4" s="19">
        <f t="shared" si="4"/>
        <v>0</v>
      </c>
      <c r="T4" t="str">
        <f>IF(Q4&gt;=Parâmetros!$B$12,"A – Plena",IF(Q4&gt;=Parâmetros!$B$13,"B – Alta",IF(Q4&gt;=Parâmetros!$B$14,"C – Média",IF(Q4&gt;=Parâmetros!$B$15,"D – Baixa","E – Incipiente"))))</f>
        <v>A – Plena</v>
      </c>
      <c r="U4" t="str">
        <f t="shared" si="5"/>
        <v>Não</v>
      </c>
      <c r="V4" s="20">
        <f t="shared" si="6"/>
        <v>225300.3009443047</v>
      </c>
    </row>
    <row r="5" spans="1:22" ht="28.5" customHeight="1" x14ac:dyDescent="0.25">
      <c r="A5" t="str">
        <f>Base_Tratada!A5</f>
        <v>REG-28</v>
      </c>
      <c r="B5" s="9" t="str">
        <f>Base_Tratada!B5</f>
        <v>IEDE-RS - Infraestrutura Estadual de Dados Espaciais do Rio Grande do Sul</v>
      </c>
      <c r="C5" s="9" t="str">
        <f>Base_Tratada!C5</f>
        <v>Unidade Federativa</v>
      </c>
      <c r="D5" s="9" t="str">
        <f>Base_Tratada!D5</f>
        <v>Infraestrutura de Dados Espaciais (IDE)</v>
      </c>
      <c r="E5" s="9" t="str">
        <f>Base_Tratada!E5</f>
        <v>Sul</v>
      </c>
      <c r="F5" s="15">
        <f>Base_Tratada!F5</f>
        <v>1963</v>
      </c>
      <c r="G5" s="15">
        <f>Base_Tratada!G5</f>
        <v>1963</v>
      </c>
      <c r="H5" s="15">
        <f>Base_Tratada!H5</f>
        <v>0</v>
      </c>
      <c r="I5" s="16">
        <f>Base_Tratada!I5</f>
        <v>46198</v>
      </c>
      <c r="J5" s="17">
        <f t="shared" si="0"/>
        <v>1</v>
      </c>
      <c r="K5" s="17">
        <f>IF(I5="","",MAX(0,Parâmetros!$B$7-I5))</f>
        <v>0</v>
      </c>
      <c r="L5" s="17">
        <f>IF(I5="","",MIN(1,POWER(0.5,K5/Parâmetros!$B$6)))</f>
        <v>1</v>
      </c>
      <c r="M5" s="17">
        <f>LN(1+F5)/LN(1+Parâmetros!$B$9)</f>
        <v>0.76091873020076639</v>
      </c>
      <c r="N5" s="18">
        <f>100*(Parâmetros!$B$3*J5+Parâmetros!$B$4*L5+Parâmetros!$B$5*M5)</f>
        <v>94.022968255019151</v>
      </c>
      <c r="O5" t="str">
        <f>IF(N5&gt;=Parâmetros!$B$12,"A – Plena",IF(N5&gt;=Parâmetros!$B$13,"B – Alta",IF(N5&gt;=Parâmetros!$B$14,"C – Média",IF(N5&gt;=Parâmetros!$B$15,"D – Baixa","E – Incipiente"))))</f>
        <v>A – Plena</v>
      </c>
      <c r="P5" s="19">
        <f t="shared" si="1"/>
        <v>4</v>
      </c>
      <c r="Q5" s="18">
        <f t="shared" si="2"/>
        <v>92.03062434002554</v>
      </c>
      <c r="R5" s="19">
        <f t="shared" si="3"/>
        <v>4</v>
      </c>
      <c r="S5" s="19">
        <f t="shared" si="4"/>
        <v>0</v>
      </c>
      <c r="T5" t="str">
        <f>IF(Q5&gt;=Parâmetros!$B$12,"A – Plena",IF(Q5&gt;=Parâmetros!$B$13,"B – Alta",IF(Q5&gt;=Parâmetros!$B$14,"C – Média",IF(Q5&gt;=Parâmetros!$B$15,"D – Baixa","E – Incipiente"))))</f>
        <v>A – Plena</v>
      </c>
      <c r="U5" t="str">
        <f t="shared" si="5"/>
        <v>Não</v>
      </c>
      <c r="V5" s="20">
        <f t="shared" si="6"/>
        <v>184567.0866846026</v>
      </c>
    </row>
    <row r="6" spans="1:22" ht="28.5" customHeight="1" x14ac:dyDescent="0.25">
      <c r="A6" t="str">
        <f>Base_Tratada!A6</f>
        <v>REG-23</v>
      </c>
      <c r="B6" s="9" t="str">
        <f>Base_Tratada!B6</f>
        <v>IDE-BA - Infraestrutura de Dados Espaciais do Estado da Bahia</v>
      </c>
      <c r="C6" s="9" t="str">
        <f>Base_Tratada!C6</f>
        <v>Unidade Federativa</v>
      </c>
      <c r="D6" s="9" t="str">
        <f>Base_Tratada!D6</f>
        <v>Infraestrutura de Dados Espaciais (IDE)</v>
      </c>
      <c r="E6" s="9" t="str">
        <f>Base_Tratada!E6</f>
        <v>Nordeste</v>
      </c>
      <c r="F6" s="15">
        <f>Base_Tratada!F6</f>
        <v>2018</v>
      </c>
      <c r="G6" s="15">
        <f>Base_Tratada!G6</f>
        <v>2018</v>
      </c>
      <c r="H6" s="15">
        <f>Base_Tratada!H6</f>
        <v>0</v>
      </c>
      <c r="I6" s="16">
        <f>Base_Tratada!I6</f>
        <v>46193</v>
      </c>
      <c r="J6" s="17">
        <f t="shared" si="0"/>
        <v>1</v>
      </c>
      <c r="K6" s="17">
        <f>IF(I6="","",MAX(0,Parâmetros!$B$7-I6))</f>
        <v>5</v>
      </c>
      <c r="L6" s="17">
        <f>IF(I6="","",MIN(1,POWER(0.5,K6/Parâmetros!$B$6)))</f>
        <v>0.99526366853212922</v>
      </c>
      <c r="M6" s="17">
        <f>LN(1+F6)/LN(1+Parâmetros!$B$9)</f>
        <v>0.76369027677352841</v>
      </c>
      <c r="N6" s="18">
        <f>100*(Parâmetros!$B$3*J6+Parâmetros!$B$4*L6+Parâmetros!$B$5*M6)</f>
        <v>93.926485317962744</v>
      </c>
      <c r="O6" t="str">
        <f>IF(N6&gt;=Parâmetros!$B$12,"A – Plena",IF(N6&gt;=Parâmetros!$B$13,"B – Alta",IF(N6&gt;=Parâmetros!$B$14,"C – Média",IF(N6&gt;=Parâmetros!$B$15,"D – Baixa","E – Incipiente"))))</f>
        <v>A – Plena</v>
      </c>
      <c r="P6" s="19">
        <f t="shared" si="1"/>
        <v>5</v>
      </c>
      <c r="Q6" s="18">
        <f t="shared" si="2"/>
        <v>91.965131510188598</v>
      </c>
      <c r="R6" s="19">
        <f t="shared" si="3"/>
        <v>5</v>
      </c>
      <c r="S6" s="19">
        <f t="shared" si="4"/>
        <v>0</v>
      </c>
      <c r="T6" t="str">
        <f>IF(Q6&gt;=Parâmetros!$B$12,"A – Plena",IF(Q6&gt;=Parâmetros!$B$13,"B – Alta",IF(Q6&gt;=Parâmetros!$B$14,"C – Média",IF(Q6&gt;=Parâmetros!$B$15,"D – Baixa","E – Incipiente"))))</f>
        <v>A – Plena</v>
      </c>
      <c r="U6" t="str">
        <f t="shared" si="5"/>
        <v>Não</v>
      </c>
      <c r="V6" s="20">
        <f t="shared" si="6"/>
        <v>189543.64737164881</v>
      </c>
    </row>
    <row r="7" spans="1:22" ht="28.5" customHeight="1" x14ac:dyDescent="0.25">
      <c r="A7" t="str">
        <f>Base_Tratada!A7</f>
        <v>REG-58</v>
      </c>
      <c r="B7" s="9" t="str">
        <f>Base_Tratada!B7</f>
        <v>PRODEMGE - Companhia de Tecnologia da Informação do Estado de Minas Gerais</v>
      </c>
      <c r="C7" s="9" t="str">
        <f>Base_Tratada!C7</f>
        <v>Unidade Federativa</v>
      </c>
      <c r="D7" s="9" t="str">
        <f>Base_Tratada!D7</f>
        <v>Empresa Pública</v>
      </c>
      <c r="E7" s="9" t="str">
        <f>Base_Tratada!E7</f>
        <v>Sudeste</v>
      </c>
      <c r="F7" s="15">
        <f>Base_Tratada!F7</f>
        <v>1641</v>
      </c>
      <c r="G7" s="15">
        <f>Base_Tratada!G7</f>
        <v>1641</v>
      </c>
      <c r="H7" s="15">
        <f>Base_Tratada!H7</f>
        <v>0</v>
      </c>
      <c r="I7" s="16">
        <f>Base_Tratada!I7</f>
        <v>46189</v>
      </c>
      <c r="J7" s="17">
        <f t="shared" si="0"/>
        <v>1</v>
      </c>
      <c r="K7" s="17">
        <f>IF(I7="","",MAX(0,Parâmetros!$B$7-I7))</f>
        <v>9</v>
      </c>
      <c r="L7" s="17">
        <f>IF(I7="","",MIN(1,POWER(0.5,K7/Parâmetros!$B$6)))</f>
        <v>0.99149076010681991</v>
      </c>
      <c r="M7" s="17">
        <f>LN(1+F7)/LN(1+Parâmetros!$B$9)</f>
        <v>0.74294945080031272</v>
      </c>
      <c r="N7" s="18">
        <f>100*(Parâmetros!$B$3*J7+Parâmetros!$B$4*L7+Parâmetros!$B$5*M7)</f>
        <v>93.27591287374652</v>
      </c>
      <c r="O7" t="str">
        <f>IF(N7&gt;=Parâmetros!$B$12,"A – Plena",IF(N7&gt;=Parâmetros!$B$13,"B – Alta",IF(N7&gt;=Parâmetros!$B$14,"C – Média",IF(N7&gt;=Parâmetros!$B$15,"D – Baixa","E – Incipiente"))))</f>
        <v>A – Plena</v>
      </c>
      <c r="P7" s="19">
        <f t="shared" si="1"/>
        <v>6</v>
      </c>
      <c r="Q7" s="18">
        <f t="shared" si="2"/>
        <v>91.148007030237764</v>
      </c>
      <c r="R7" s="19">
        <f t="shared" si="3"/>
        <v>6</v>
      </c>
      <c r="S7" s="19">
        <f t="shared" si="4"/>
        <v>0</v>
      </c>
      <c r="T7" t="str">
        <f>IF(Q7&gt;=Parâmetros!$B$12,"A – Plena",IF(Q7&gt;=Parâmetros!$B$13,"B – Alta",IF(Q7&gt;=Parâmetros!$B$14,"C – Média",IF(Q7&gt;=Parâmetros!$B$15,"D – Baixa","E – Incipiente"))))</f>
        <v>A – Plena</v>
      </c>
      <c r="U7" t="str">
        <f t="shared" si="5"/>
        <v>Não</v>
      </c>
      <c r="V7" s="20">
        <f t="shared" si="6"/>
        <v>153065.77302581805</v>
      </c>
    </row>
    <row r="8" spans="1:22" ht="42.75" customHeight="1" x14ac:dyDescent="0.25">
      <c r="A8" t="str">
        <f>Base_Tratada!A8</f>
        <v>REG-26</v>
      </c>
      <c r="B8" s="9" t="str">
        <f>Base_Tratada!B8</f>
        <v>IDE-Sisema - Infraestrutura de Dados Espaciais do Sistema Estadual de Meio Ambiente e Recursos Hídricos de Minas Gerais</v>
      </c>
      <c r="C8" s="9" t="str">
        <f>Base_Tratada!C8</f>
        <v>Unidade Federativa</v>
      </c>
      <c r="D8" s="9" t="str">
        <f>Base_Tratada!D8</f>
        <v>Infraestrutura de Dados Espaciais (IDE)</v>
      </c>
      <c r="E8" s="9" t="str">
        <f>Base_Tratada!E8</f>
        <v>Sudeste</v>
      </c>
      <c r="F8" s="15">
        <f>Base_Tratada!F8</f>
        <v>749</v>
      </c>
      <c r="G8" s="15">
        <f>Base_Tratada!G8</f>
        <v>749</v>
      </c>
      <c r="H8" s="15">
        <f>Base_Tratada!H8</f>
        <v>0</v>
      </c>
      <c r="I8" s="16">
        <f>Base_Tratada!I8</f>
        <v>46191</v>
      </c>
      <c r="J8" s="17">
        <f t="shared" si="0"/>
        <v>1</v>
      </c>
      <c r="K8" s="17">
        <f>IF(I8="","",MAX(0,Parâmetros!$B$7-I8))</f>
        <v>7</v>
      </c>
      <c r="L8" s="17">
        <f>IF(I8="","",MIN(1,POWER(0.5,K8/Parâmetros!$B$6)))</f>
        <v>0.99337542310026117</v>
      </c>
      <c r="M8" s="17">
        <f>LN(1+F8)/LN(1+Parâmetros!$B$9)</f>
        <v>0.66431642150306691</v>
      </c>
      <c r="N8" s="18">
        <f>100*(Parâmetros!$B$3*J8+Parâmetros!$B$4*L8+Parâmetros!$B$5*M8)</f>
        <v>91.376050346085819</v>
      </c>
      <c r="O8" t="str">
        <f>IF(N8&gt;=Parâmetros!$B$12,"A – Plena",IF(N8&gt;=Parâmetros!$B$13,"B – Alta",IF(N8&gt;=Parâmetros!$B$14,"C – Média",IF(N8&gt;=Parâmetros!$B$15,"D – Baixa","E – Incipiente"))))</f>
        <v>A – Plena</v>
      </c>
      <c r="P8" s="19">
        <f t="shared" si="1"/>
        <v>7</v>
      </c>
      <c r="Q8" s="18">
        <f t="shared" si="2"/>
        <v>88.589728153444256</v>
      </c>
      <c r="R8" s="19">
        <f t="shared" si="3"/>
        <v>8</v>
      </c>
      <c r="S8" s="19">
        <f t="shared" si="4"/>
        <v>1</v>
      </c>
      <c r="T8" t="str">
        <f>IF(Q8&gt;=Parâmetros!$B$12,"A – Plena",IF(Q8&gt;=Parâmetros!$B$13,"B – Alta",IF(Q8&gt;=Parâmetros!$B$14,"C – Média",IF(Q8&gt;=Parâmetros!$B$15,"D – Baixa","E – Incipiente"))))</f>
        <v>A – Plena</v>
      </c>
      <c r="U8" t="str">
        <f t="shared" si="5"/>
        <v>Não</v>
      </c>
      <c r="V8" s="20">
        <f t="shared" si="6"/>
        <v>68440.661709218271</v>
      </c>
    </row>
    <row r="9" spans="1:22" ht="28.5" customHeight="1" x14ac:dyDescent="0.25">
      <c r="A9" t="str">
        <f>Base_Tratada!A9</f>
        <v>REG-24</v>
      </c>
      <c r="B9" s="9" t="str">
        <f>Base_Tratada!B9</f>
        <v>IDE-ES/GEOBASES - Sistema Integrado de Bases Geoespaciais do Estado do Espírito Santo</v>
      </c>
      <c r="C9" s="9" t="str">
        <f>Base_Tratada!C9</f>
        <v>Unidade Federativa</v>
      </c>
      <c r="D9" s="9" t="str">
        <f>Base_Tratada!D9</f>
        <v>Infraestrutura de Dados Espaciais (IDE)</v>
      </c>
      <c r="E9" s="9" t="str">
        <f>Base_Tratada!E9</f>
        <v>Sudeste</v>
      </c>
      <c r="F9" s="15">
        <f>Base_Tratada!F9</f>
        <v>788</v>
      </c>
      <c r="G9" s="15">
        <f>Base_Tratada!G9</f>
        <v>788</v>
      </c>
      <c r="H9" s="15">
        <f>Base_Tratada!H9</f>
        <v>0</v>
      </c>
      <c r="I9" s="16">
        <f>Base_Tratada!I9</f>
        <v>46182</v>
      </c>
      <c r="J9" s="17">
        <f t="shared" si="0"/>
        <v>1</v>
      </c>
      <c r="K9" s="17">
        <f>IF(I9="","",MAX(0,Parâmetros!$B$7-I9))</f>
        <v>16</v>
      </c>
      <c r="L9" s="17">
        <f>IF(I9="","",MIN(1,POWER(0.5,K9/Parâmetros!$B$6)))</f>
        <v>0.98492255332111178</v>
      </c>
      <c r="M9" s="17">
        <f>LN(1+F9)/LN(1+Parâmetros!$B$9)</f>
        <v>0.66940341484080079</v>
      </c>
      <c r="N9" s="18">
        <f>100*(Parâmetros!$B$3*J9+Parâmetros!$B$4*L9+Parâmetros!$B$5*M9)</f>
        <v>91.207374737258931</v>
      </c>
      <c r="O9" t="str">
        <f>IF(N9&gt;=Parâmetros!$B$12,"A – Plena",IF(N9&gt;=Parâmetros!$B$13,"B – Alta",IF(N9&gt;=Parâmetros!$B$14,"C – Média",IF(N9&gt;=Parâmetros!$B$15,"D – Baixa","E – Incipiente"))))</f>
        <v>A – Plena</v>
      </c>
      <c r="P9" s="19">
        <f t="shared" si="1"/>
        <v>8</v>
      </c>
      <c r="Q9" s="18">
        <f t="shared" si="2"/>
        <v>88.47753227206374</v>
      </c>
      <c r="R9" s="19">
        <f t="shared" si="3"/>
        <v>9</v>
      </c>
      <c r="S9" s="19">
        <f t="shared" si="4"/>
        <v>1</v>
      </c>
      <c r="T9" t="str">
        <f>IF(Q9&gt;=Parâmetros!$B$12,"A – Plena",IF(Q9&gt;=Parâmetros!$B$13,"B – Alta",IF(Q9&gt;=Parâmetros!$B$14,"C – Média",IF(Q9&gt;=Parâmetros!$B$15,"D – Baixa","E – Incipiente"))))</f>
        <v>A – Plena</v>
      </c>
      <c r="U9" t="str">
        <f t="shared" si="5"/>
        <v>Não</v>
      </c>
      <c r="V9" s="20">
        <f t="shared" si="6"/>
        <v>71871.411292960038</v>
      </c>
    </row>
    <row r="10" spans="1:22" ht="14.25" customHeight="1" x14ac:dyDescent="0.25">
      <c r="A10" t="str">
        <f>Base_Tratada!A10</f>
        <v>REG-35+REG-36</v>
      </c>
      <c r="B10" s="9" t="str">
        <f>Base_Tratada!B10</f>
        <v>MB/DHN - Diretoria de Hidrografia e Navegação</v>
      </c>
      <c r="C10" s="9" t="str">
        <f>Base_Tratada!C10</f>
        <v>Nacional</v>
      </c>
      <c r="D10" s="9" t="str">
        <f>Base_Tratada!D10</f>
        <v>Organização Militar</v>
      </c>
      <c r="E10" s="9" t="str">
        <f>Base_Tratada!E10</f>
        <v>Nacional</v>
      </c>
      <c r="F10" s="15">
        <f>Base_Tratada!F10</f>
        <v>3234</v>
      </c>
      <c r="G10" s="15">
        <f>Base_Tratada!G10</f>
        <v>3019</v>
      </c>
      <c r="H10" s="15">
        <f>Base_Tratada!H10</f>
        <v>215</v>
      </c>
      <c r="I10" s="16">
        <f>Base_Tratada!I10</f>
        <v>46142</v>
      </c>
      <c r="J10" s="17">
        <f t="shared" si="0"/>
        <v>0.93351886209029067</v>
      </c>
      <c r="K10" s="17">
        <f>IF(I10="","",MAX(0,Parâmetros!$B$7-I10))</f>
        <v>56</v>
      </c>
      <c r="L10" s="17">
        <f>IF(I10="","",MIN(1,POWER(0.5,K10/Parâmetros!$B$6)))</f>
        <v>0.94821601913515718</v>
      </c>
      <c r="M10" s="17">
        <f>LN(1+F10)/LN(1+Parâmetros!$B$9)</f>
        <v>0.81099737060535226</v>
      </c>
      <c r="N10" s="18">
        <f>100*(Parâmetros!$B$3*J10+Parâmetros!$B$4*L10+Parâmetros!$B$5*M10)</f>
        <v>90.803249418475929</v>
      </c>
      <c r="O10" t="str">
        <f>IF(N10&gt;=Parâmetros!$B$12,"A – Plena",IF(N10&gt;=Parâmetros!$B$13,"B – Alta",IF(N10&gt;=Parâmetros!$B$14,"C – Média",IF(N10&gt;=Parâmetros!$B$15,"D – Baixa","E – Incipiente"))))</f>
        <v>A – Plena</v>
      </c>
      <c r="P10" s="19">
        <f t="shared" si="1"/>
        <v>9</v>
      </c>
      <c r="Q10" s="18">
        <f t="shared" si="2"/>
        <v>89.757741727693329</v>
      </c>
      <c r="R10" s="19">
        <f t="shared" si="3"/>
        <v>7</v>
      </c>
      <c r="S10" s="19">
        <f t="shared" si="4"/>
        <v>-2</v>
      </c>
      <c r="T10" t="str">
        <f>IF(Q10&gt;=Parâmetros!$B$12,"A – Plena",IF(Q10&gt;=Parâmetros!$B$13,"B – Alta",IF(Q10&gt;=Parâmetros!$B$14,"C – Média",IF(Q10&gt;=Parâmetros!$B$15,"D – Baixa","E – Incipiente"))))</f>
        <v>A – Plena</v>
      </c>
      <c r="U10" t="str">
        <f t="shared" si="5"/>
        <v>Não</v>
      </c>
      <c r="V10" s="20">
        <f t="shared" si="6"/>
        <v>293657.70861935115</v>
      </c>
    </row>
    <row r="11" spans="1:22" ht="14.25" customHeight="1" x14ac:dyDescent="0.25">
      <c r="A11" t="str">
        <f>Base_Tratada!A11</f>
        <v>REG-54</v>
      </c>
      <c r="B11" s="9" t="str">
        <f>Base_Tratada!B11</f>
        <v>Prefeitura do Município de São Paulo (SP)</v>
      </c>
      <c r="C11" s="9" t="str">
        <f>Base_Tratada!C11</f>
        <v>Municipal</v>
      </c>
      <c r="D11" s="9" t="str">
        <f>Base_Tratada!D11</f>
        <v>Prefeitura</v>
      </c>
      <c r="E11" s="9" t="str">
        <f>Base_Tratada!E11</f>
        <v>Sudeste</v>
      </c>
      <c r="F11" s="15">
        <f>Base_Tratada!F11</f>
        <v>558</v>
      </c>
      <c r="G11" s="15">
        <f>Base_Tratada!G11</f>
        <v>558</v>
      </c>
      <c r="H11" s="15">
        <f>Base_Tratada!H11</f>
        <v>0</v>
      </c>
      <c r="I11" s="16">
        <f>Base_Tratada!I11</f>
        <v>46193</v>
      </c>
      <c r="J11" s="17">
        <f t="shared" si="0"/>
        <v>1</v>
      </c>
      <c r="K11" s="17">
        <f>IF(I11="","",MAX(0,Parâmetros!$B$7-I11))</f>
        <v>5</v>
      </c>
      <c r="L11" s="17">
        <f>IF(I11="","",MIN(1,POWER(0.5,K11/Parâmetros!$B$6)))</f>
        <v>0.99526366853212922</v>
      </c>
      <c r="M11" s="17">
        <f>LN(1+F11)/LN(1+Parâmetros!$B$9)</f>
        <v>0.63482152670974945</v>
      </c>
      <c r="N11" s="18">
        <f>100*(Parâmetros!$B$3*J11+Parâmetros!$B$4*L11+Parâmetros!$B$5*M11)</f>
        <v>90.704766566368249</v>
      </c>
      <c r="O11" t="str">
        <f>IF(N11&gt;=Parâmetros!$B$12,"A – Plena",IF(N11&gt;=Parâmetros!$B$13,"B – Alta",IF(N11&gt;=Parâmetros!$B$14,"C – Média",IF(N11&gt;=Parâmetros!$B$15,"D – Baixa","E – Incipiente"))))</f>
        <v>A – Plena</v>
      </c>
      <c r="P11" s="19">
        <f t="shared" si="1"/>
        <v>10</v>
      </c>
      <c r="Q11" s="18">
        <f t="shared" si="2"/>
        <v>87.669506508062625</v>
      </c>
      <c r="R11" s="19">
        <f t="shared" si="3"/>
        <v>10</v>
      </c>
      <c r="S11" s="19">
        <f t="shared" si="4"/>
        <v>0</v>
      </c>
      <c r="T11" t="str">
        <f>IF(Q11&gt;=Parâmetros!$B$12,"A – Plena",IF(Q11&gt;=Parâmetros!$B$13,"B – Alta",IF(Q11&gt;=Parâmetros!$B$14,"C – Média",IF(Q11&gt;=Parâmetros!$B$15,"D – Baixa","E – Incipiente"))))</f>
        <v>A – Plena</v>
      </c>
      <c r="U11" t="str">
        <f t="shared" si="5"/>
        <v>Não</v>
      </c>
      <c r="V11" s="20">
        <f t="shared" si="6"/>
        <v>50613.259744033487</v>
      </c>
    </row>
    <row r="12" spans="1:22" ht="14.25" customHeight="1" x14ac:dyDescent="0.25">
      <c r="A12" t="str">
        <f>Base_Tratada!A12</f>
        <v>REG-50</v>
      </c>
      <c r="B12" s="9" t="str">
        <f>Base_Tratada!B12</f>
        <v>Prefeitura de Belo Horizonte (MG)</v>
      </c>
      <c r="C12" s="9" t="str">
        <f>Base_Tratada!C12</f>
        <v>Municipal</v>
      </c>
      <c r="D12" s="9" t="str">
        <f>Base_Tratada!D12</f>
        <v>Prefeitura</v>
      </c>
      <c r="E12" s="9" t="str">
        <f>Base_Tratada!E12</f>
        <v>Nacional</v>
      </c>
      <c r="F12" s="15">
        <f>Base_Tratada!F12</f>
        <v>330</v>
      </c>
      <c r="G12" s="15">
        <f>Base_Tratada!G12</f>
        <v>330</v>
      </c>
      <c r="H12" s="15">
        <f>Base_Tratada!H12</f>
        <v>0</v>
      </c>
      <c r="I12" s="16">
        <f>Base_Tratada!I12</f>
        <v>46196</v>
      </c>
      <c r="J12" s="17">
        <f t="shared" si="0"/>
        <v>1</v>
      </c>
      <c r="K12" s="17">
        <f>IF(I12="","",MAX(0,Parâmetros!$B$7-I12))</f>
        <v>2</v>
      </c>
      <c r="L12" s="17">
        <f>IF(I12="","",MIN(1,POWER(0.5,K12/Parâmetros!$B$6)))</f>
        <v>0.99810276865159464</v>
      </c>
      <c r="M12" s="17">
        <f>LN(1+F12)/LN(1+Parâmetros!$B$9)</f>
        <v>0.5822356333560591</v>
      </c>
      <c r="N12" s="18">
        <f>100*(Parâmetros!$B$3*J12+Parâmetros!$B$4*L12+Parâmetros!$B$5*M12)</f>
        <v>89.489487736707289</v>
      </c>
      <c r="O12" t="str">
        <f>IF(N12&gt;=Parâmetros!$B$12,"A – Plena",IF(N12&gt;=Parâmetros!$B$13,"B – Alta",IF(N12&gt;=Parâmetros!$B$14,"C – Média",IF(N12&gt;=Parâmetros!$B$15,"D – Baixa","E – Incipiente"))))</f>
        <v>A – Plena</v>
      </c>
      <c r="P12" s="19">
        <f t="shared" si="1"/>
        <v>11</v>
      </c>
      <c r="Q12" s="18">
        <f t="shared" si="2"/>
        <v>86.011280066921799</v>
      </c>
      <c r="R12" s="19">
        <f t="shared" si="3"/>
        <v>11</v>
      </c>
      <c r="S12" s="19">
        <f t="shared" si="4"/>
        <v>0</v>
      </c>
      <c r="T12" t="str">
        <f>IF(Q12&gt;=Parâmetros!$B$12,"A – Plena",IF(Q12&gt;=Parâmetros!$B$13,"B – Alta",IF(Q12&gt;=Parâmetros!$B$14,"C – Média",IF(Q12&gt;=Parâmetros!$B$15,"D – Baixa","E – Incipiente"))))</f>
        <v>A – Plena</v>
      </c>
      <c r="U12" t="str">
        <f t="shared" si="5"/>
        <v>Não</v>
      </c>
      <c r="V12" s="20">
        <f t="shared" si="6"/>
        <v>29531.530953113404</v>
      </c>
    </row>
    <row r="13" spans="1:22" ht="28.5" customHeight="1" x14ac:dyDescent="0.25">
      <c r="A13" t="str">
        <f>Base_Tratada!A13</f>
        <v>REG-02</v>
      </c>
      <c r="B13" s="9" t="str">
        <f>Base_Tratada!B13</f>
        <v>ANA - Agência Nacional de Águas e Saneamento Básico</v>
      </c>
      <c r="C13" s="9" t="str">
        <f>Base_Tratada!C13</f>
        <v>Nacional</v>
      </c>
      <c r="D13" s="9" t="str">
        <f>Base_Tratada!D13</f>
        <v>Autarquia</v>
      </c>
      <c r="E13" s="9" t="str">
        <f>Base_Tratada!E13</f>
        <v>Nacional</v>
      </c>
      <c r="F13" s="15">
        <f>Base_Tratada!F13</f>
        <v>197</v>
      </c>
      <c r="G13" s="15">
        <f>Base_Tratada!G13</f>
        <v>197</v>
      </c>
      <c r="H13" s="15">
        <f>Base_Tratada!H13</f>
        <v>0</v>
      </c>
      <c r="I13" s="16">
        <f>Base_Tratada!I13</f>
        <v>46193</v>
      </c>
      <c r="J13" s="17">
        <f t="shared" si="0"/>
        <v>1</v>
      </c>
      <c r="K13" s="17">
        <f>IF(I13="","",MAX(0,Parâmetros!$B$7-I13))</f>
        <v>5</v>
      </c>
      <c r="L13" s="17">
        <f>IF(I13="","",MIN(1,POWER(0.5,K13/Parâmetros!$B$6)))</f>
        <v>0.99526366853212922</v>
      </c>
      <c r="M13" s="17">
        <f>LN(1+F13)/LN(1+Parâmetros!$B$9)</f>
        <v>0.53067126603950099</v>
      </c>
      <c r="N13" s="18">
        <f>100*(Parâmetros!$B$3*J13+Parâmetros!$B$4*L13+Parâmetros!$B$5*M13)</f>
        <v>88.101010049612043</v>
      </c>
      <c r="O13" t="str">
        <f>IF(N13&gt;=Parâmetros!$B$12,"A – Plena",IF(N13&gt;=Parâmetros!$B$13,"B – Alta",IF(N13&gt;=Parâmetros!$B$14,"C – Média",IF(N13&gt;=Parâmetros!$B$15,"D – Baixa","E – Incipiente"))))</f>
        <v>A – Plena</v>
      </c>
      <c r="P13" s="19">
        <f t="shared" si="1"/>
        <v>12</v>
      </c>
      <c r="Q13" s="18">
        <f t="shared" si="2"/>
        <v>84.197831152387678</v>
      </c>
      <c r="R13" s="19">
        <f t="shared" si="3"/>
        <v>13</v>
      </c>
      <c r="S13" s="19">
        <f t="shared" si="4"/>
        <v>1</v>
      </c>
      <c r="T13" t="str">
        <f>IF(Q13&gt;=Parâmetros!$B$12,"A – Plena",IF(Q13&gt;=Parâmetros!$B$13,"B – Alta",IF(Q13&gt;=Parâmetros!$B$14,"C – Média",IF(Q13&gt;=Parâmetros!$B$15,"D – Baixa","E – Incipiente"))))</f>
        <v>A – Plena</v>
      </c>
      <c r="U13" t="str">
        <f t="shared" si="5"/>
        <v>Não</v>
      </c>
      <c r="V13" s="20">
        <f t="shared" si="6"/>
        <v>17355.898979773574</v>
      </c>
    </row>
    <row r="14" spans="1:22" ht="14.25" customHeight="1" x14ac:dyDescent="0.25">
      <c r="A14" t="str">
        <f>Base_Tratada!A14</f>
        <v>REG-17</v>
      </c>
      <c r="B14" s="9" t="str">
        <f>Base_Tratada!B14</f>
        <v>Fundação Nacional dos Povos Indígenas</v>
      </c>
      <c r="C14" s="9" t="str">
        <f>Base_Tratada!C14</f>
        <v>Nacional</v>
      </c>
      <c r="D14" s="9" t="str">
        <f>Base_Tratada!D14</f>
        <v>Autarquia</v>
      </c>
      <c r="E14" s="9" t="str">
        <f>Base_Tratada!E14</f>
        <v>Nacional</v>
      </c>
      <c r="F14" s="15">
        <f>Base_Tratada!F14</f>
        <v>651</v>
      </c>
      <c r="G14" s="15">
        <f>Base_Tratada!G14</f>
        <v>649</v>
      </c>
      <c r="H14" s="15">
        <f>Base_Tratada!H14</f>
        <v>2</v>
      </c>
      <c r="I14" s="16">
        <f>Base_Tratada!I14</f>
        <v>46099</v>
      </c>
      <c r="J14" s="17">
        <f t="shared" si="0"/>
        <v>0.99692780337941633</v>
      </c>
      <c r="K14" s="17">
        <f>IF(I14="","",MAX(0,Parâmetros!$B$7-I14))</f>
        <v>99</v>
      </c>
      <c r="L14" s="17">
        <f>IF(I14="","",MIN(1,POWER(0.5,K14/Parâmetros!$B$6)))</f>
        <v>0.91028080341982009</v>
      </c>
      <c r="M14" s="17">
        <f>LN(1+F14)/LN(1+Parâmetros!$B$9)</f>
        <v>0.65026471464289293</v>
      </c>
      <c r="N14" s="18">
        <f>100*(Parâmetros!$B$3*J14+Parâmetros!$B$4*L14+Parâmetros!$B$5*M14)</f>
        <v>87.99355812094268</v>
      </c>
      <c r="O14" t="str">
        <f>IF(N14&gt;=Parâmetros!$B$12,"A – Plena",IF(N14&gt;=Parâmetros!$B$13,"B – Alta",IF(N14&gt;=Parâmetros!$B$14,"C – Média",IF(N14&gt;=Parâmetros!$B$15,"D – Baixa","E – Incipiente"))))</f>
        <v>A – Plena</v>
      </c>
      <c r="P14" s="19">
        <f t="shared" si="1"/>
        <v>13</v>
      </c>
      <c r="Q14" s="18">
        <f t="shared" si="2"/>
        <v>85.24911071473764</v>
      </c>
      <c r="R14" s="19">
        <f t="shared" si="3"/>
        <v>12</v>
      </c>
      <c r="S14" s="19">
        <f t="shared" si="4"/>
        <v>-1</v>
      </c>
      <c r="T14" t="str">
        <f>IF(Q14&gt;=Parâmetros!$B$12,"A – Plena",IF(Q14&gt;=Parâmetros!$B$13,"B – Alta",IF(Q14&gt;=Parâmetros!$B$14,"C – Média",IF(Q14&gt;=Parâmetros!$B$15,"D – Baixa","E – Incipiente"))))</f>
        <v>A – Plena</v>
      </c>
      <c r="U14" t="str">
        <f t="shared" si="5"/>
        <v>Não</v>
      </c>
      <c r="V14" s="20">
        <f t="shared" si="6"/>
        <v>57283.806336733687</v>
      </c>
    </row>
    <row r="15" spans="1:22" ht="14.25" customHeight="1" x14ac:dyDescent="0.25">
      <c r="A15" t="str">
        <f>Base_Tratada!A15</f>
        <v>REG-46</v>
      </c>
      <c r="B15" s="9" t="str">
        <f>Base_Tratada!B15</f>
        <v>MS - Ministério da Saúde</v>
      </c>
      <c r="C15" s="9" t="str">
        <f>Base_Tratada!C15</f>
        <v>Nacional</v>
      </c>
      <c r="D15" s="9" t="str">
        <f>Base_Tratada!D15</f>
        <v>Órgão do Governo</v>
      </c>
      <c r="E15" s="9" t="str">
        <f>Base_Tratada!E15</f>
        <v>Nacional</v>
      </c>
      <c r="F15" s="15">
        <f>Base_Tratada!F15</f>
        <v>176</v>
      </c>
      <c r="G15" s="15">
        <f>Base_Tratada!G15</f>
        <v>176</v>
      </c>
      <c r="H15" s="15">
        <f>Base_Tratada!H15</f>
        <v>0</v>
      </c>
      <c r="I15" s="16">
        <f>Base_Tratada!I15</f>
        <v>46184</v>
      </c>
      <c r="J15" s="17">
        <f t="shared" si="0"/>
        <v>1</v>
      </c>
      <c r="K15" s="17">
        <f>IF(I15="","",MAX(0,Parâmetros!$B$7-I15))</f>
        <v>14</v>
      </c>
      <c r="L15" s="17">
        <f>IF(I15="","",MIN(1,POWER(0.5,K15/Parâmetros!$B$6)))</f>
        <v>0.98679473121962291</v>
      </c>
      <c r="M15" s="17">
        <f>LN(1+F15)/LN(1+Parâmetros!$B$9)</f>
        <v>0.51942042938671773</v>
      </c>
      <c r="N15" s="18">
        <f>100*(Parâmetros!$B$3*J15+Parâmetros!$B$4*L15+Parâmetros!$B$5*M15)</f>
        <v>87.523326327354738</v>
      </c>
      <c r="O15" t="str">
        <f>IF(N15&gt;=Parâmetros!$B$12,"A – Plena",IF(N15&gt;=Parâmetros!$B$13,"B – Alta",IF(N15&gt;=Parâmetros!$B$14,"C – Média",IF(N15&gt;=Parâmetros!$B$15,"D – Baixa","E – Incipiente"))))</f>
        <v>A – Plena</v>
      </c>
      <c r="P15" s="19">
        <f t="shared" si="1"/>
        <v>14</v>
      </c>
      <c r="Q15" s="18">
        <f t="shared" si="2"/>
        <v>83.540505353544688</v>
      </c>
      <c r="R15" s="19">
        <f t="shared" si="3"/>
        <v>14</v>
      </c>
      <c r="S15" s="19">
        <f t="shared" si="4"/>
        <v>0</v>
      </c>
      <c r="T15" t="str">
        <f>IF(Q15&gt;=Parâmetros!$B$12,"A – Plena",IF(Q15&gt;=Parâmetros!$B$13,"B – Alta",IF(Q15&gt;=Parâmetros!$B$14,"C – Média",IF(Q15&gt;=Parâmetros!$B$15,"D – Baixa","E – Incipiente"))))</f>
        <v>A – Plena</v>
      </c>
      <c r="U15" t="str">
        <f t="shared" si="5"/>
        <v>Não</v>
      </c>
      <c r="V15" s="20">
        <f t="shared" si="6"/>
        <v>15404.105433614433</v>
      </c>
    </row>
    <row r="16" spans="1:22" ht="14.25" customHeight="1" x14ac:dyDescent="0.25">
      <c r="A16" t="str">
        <f>Base_Tratada!A16</f>
        <v>REG-31</v>
      </c>
      <c r="B16" s="9" t="str">
        <f>Base_Tratada!B16</f>
        <v>INPE - Instituto Nacional de Pesquisas Espaciais</v>
      </c>
      <c r="C16" s="9" t="str">
        <f>Base_Tratada!C16</f>
        <v>Nacional</v>
      </c>
      <c r="D16" s="9" t="str">
        <f>Base_Tratada!D16</f>
        <v>Academia</v>
      </c>
      <c r="E16" s="9" t="str">
        <f>Base_Tratada!E16</f>
        <v>Nacional</v>
      </c>
      <c r="F16" s="15">
        <f>Base_Tratada!F16</f>
        <v>82</v>
      </c>
      <c r="G16" s="15">
        <f>Base_Tratada!G16</f>
        <v>82</v>
      </c>
      <c r="H16" s="15">
        <f>Base_Tratada!H16</f>
        <v>0</v>
      </c>
      <c r="I16" s="16">
        <f>Base_Tratada!I16</f>
        <v>46190</v>
      </c>
      <c r="J16" s="17">
        <f t="shared" si="0"/>
        <v>1</v>
      </c>
      <c r="K16" s="17">
        <f>IF(I16="","",MAX(0,Parâmetros!$B$7-I16))</f>
        <v>8</v>
      </c>
      <c r="L16" s="17">
        <f>IF(I16="","",MIN(1,POWER(0.5,K16/Parâmetros!$B$6)))</f>
        <v>0.99243264422383437</v>
      </c>
      <c r="M16" s="17">
        <f>LN(1+F16)/LN(1+Parâmetros!$B$9)</f>
        <v>0.44342536527664794</v>
      </c>
      <c r="N16" s="18">
        <f>100*(Parâmetros!$B$3*J16+Parâmetros!$B$4*L16+Parâmetros!$B$5*M16)</f>
        <v>85.820776679750395</v>
      </c>
      <c r="O16" t="str">
        <f>IF(N16&gt;=Parâmetros!$B$12,"A – Plena",IF(N16&gt;=Parâmetros!$B$13,"B – Alta",IF(N16&gt;=Parâmetros!$B$14,"C – Média",IF(N16&gt;=Parâmetros!$B$15,"D – Baixa","E – Incipiente"))))</f>
        <v>A – Plena</v>
      </c>
      <c r="P16" s="19">
        <f t="shared" si="1"/>
        <v>15</v>
      </c>
      <c r="Q16" s="18">
        <f t="shared" si="2"/>
        <v>81.195266983349413</v>
      </c>
      <c r="R16" s="19">
        <f t="shared" si="3"/>
        <v>16</v>
      </c>
      <c r="S16" s="19">
        <f t="shared" si="4"/>
        <v>1</v>
      </c>
      <c r="T16" t="str">
        <f>IF(Q16&gt;=Parâmetros!$B$12,"A – Plena",IF(Q16&gt;=Parâmetros!$B$13,"B – Alta",IF(Q16&gt;=Parâmetros!$B$14,"C – Média",IF(Q16&gt;=Parâmetros!$B$15,"D – Baixa","E – Incipiente"))))</f>
        <v>A – Plena</v>
      </c>
      <c r="U16" t="str">
        <f t="shared" si="5"/>
        <v>Não</v>
      </c>
      <c r="V16" s="20">
        <f t="shared" si="6"/>
        <v>7037.3036877395325</v>
      </c>
    </row>
    <row r="17" spans="1:22" ht="14.25" customHeight="1" x14ac:dyDescent="0.25">
      <c r="A17" t="str">
        <f>Base_Tratada!A17</f>
        <v>REG-16</v>
      </c>
      <c r="B17" s="9" t="str">
        <f>Base_Tratada!B17</f>
        <v>Fundação João Pinheiro (MG)</v>
      </c>
      <c r="C17" s="9" t="str">
        <f>Base_Tratada!C17</f>
        <v>Unidade Federativa</v>
      </c>
      <c r="D17" s="9" t="str">
        <f>Base_Tratada!D17</f>
        <v>Autarquia</v>
      </c>
      <c r="E17" s="9" t="str">
        <f>Base_Tratada!E17</f>
        <v>Sudeste</v>
      </c>
      <c r="F17" s="15">
        <f>Base_Tratada!F17</f>
        <v>71</v>
      </c>
      <c r="G17" s="15">
        <f>Base_Tratada!G17</f>
        <v>71</v>
      </c>
      <c r="H17" s="15">
        <f>Base_Tratada!H17</f>
        <v>0</v>
      </c>
      <c r="I17" s="16">
        <f>Base_Tratada!I17</f>
        <v>46197</v>
      </c>
      <c r="J17" s="17">
        <f t="shared" si="0"/>
        <v>1</v>
      </c>
      <c r="K17" s="17">
        <f>IF(I17="","",MAX(0,Parâmetros!$B$7-I17))</f>
        <v>1</v>
      </c>
      <c r="L17" s="17">
        <f>IF(I17="","",MIN(1,POWER(0.5,K17/Parâmetros!$B$6)))</f>
        <v>0.99905093396262568</v>
      </c>
      <c r="M17" s="17">
        <f>LN(1+F17)/LN(1+Parâmetros!$B$9)</f>
        <v>0.42915832552208011</v>
      </c>
      <c r="N17" s="18">
        <f>100*(Parâmetros!$B$3*J17+Parâmetros!$B$4*L17+Parâmetros!$B$5*M17)</f>
        <v>85.695740826743901</v>
      </c>
      <c r="O17" t="str">
        <f>IF(N17&gt;=Parâmetros!$B$12,"A – Plena",IF(N17&gt;=Parâmetros!$B$13,"B – Alta",IF(N17&gt;=Parâmetros!$B$14,"C – Média",IF(N17&gt;=Parâmetros!$B$15,"D – Baixa","E – Incipiente"))))</f>
        <v>A – Plena</v>
      </c>
      <c r="P17" s="19">
        <f t="shared" si="1"/>
        <v>16</v>
      </c>
      <c r="Q17" s="18">
        <f t="shared" si="2"/>
        <v>80.940308649490177</v>
      </c>
      <c r="R17" s="19">
        <f t="shared" si="3"/>
        <v>17</v>
      </c>
      <c r="S17" s="19">
        <f t="shared" si="4"/>
        <v>1</v>
      </c>
      <c r="T17" t="str">
        <f>IF(Q17&gt;=Parâmetros!$B$12,"A – Plena",IF(Q17&gt;=Parâmetros!$B$13,"B – Alta",IF(Q17&gt;=Parâmetros!$B$14,"C – Média",IF(Q17&gt;=Parâmetros!$B$15,"D – Baixa","E – Incipiente"))))</f>
        <v>A – Plena</v>
      </c>
      <c r="U17" t="str">
        <f t="shared" si="5"/>
        <v>Não</v>
      </c>
      <c r="V17" s="20">
        <f t="shared" si="6"/>
        <v>6084.3975986988171</v>
      </c>
    </row>
    <row r="18" spans="1:22" ht="28.5" customHeight="1" x14ac:dyDescent="0.25">
      <c r="A18" t="str">
        <f>Base_Tratada!A18</f>
        <v>REG-66</v>
      </c>
      <c r="B18" s="9" t="str">
        <f>Base_Tratada!B18</f>
        <v>Seplan/TO - Secretaria do Planejamento e Orçamento do Estado do Tocantins</v>
      </c>
      <c r="C18" s="9" t="str">
        <f>Base_Tratada!C18</f>
        <v>Unidade Federativa</v>
      </c>
      <c r="D18" s="9" t="str">
        <f>Base_Tratada!D18</f>
        <v>Órgão do Governo</v>
      </c>
      <c r="E18" s="9" t="str">
        <f>Base_Tratada!E18</f>
        <v>Centro Oeste</v>
      </c>
      <c r="F18" s="15">
        <f>Base_Tratada!F18</f>
        <v>888</v>
      </c>
      <c r="G18" s="15">
        <f>Base_Tratada!G18</f>
        <v>888</v>
      </c>
      <c r="H18" s="15">
        <f>Base_Tratada!H18</f>
        <v>0</v>
      </c>
      <c r="I18" s="16">
        <f>Base_Tratada!I18</f>
        <v>45906</v>
      </c>
      <c r="J18" s="17">
        <f t="shared" si="0"/>
        <v>1</v>
      </c>
      <c r="K18" s="17">
        <f>IF(I18="","",MAX(0,Parâmetros!$B$7-I18))</f>
        <v>292</v>
      </c>
      <c r="L18" s="17">
        <f>IF(I18="","",MIN(1,POWER(0.5,K18/Parâmetros!$B$6)))</f>
        <v>0.75785828325519911</v>
      </c>
      <c r="M18" s="17">
        <f>LN(1+F18)/LN(1+Parâmetros!$B$9)</f>
        <v>0.68137812927881558</v>
      </c>
      <c r="N18" s="18">
        <f>100*(Parâmetros!$B$3*J18+Parâmetros!$B$4*L18+Parâmetros!$B$5*M18)</f>
        <v>83.559493145902366</v>
      </c>
      <c r="O18" t="str">
        <f>IF(N18&gt;=Parâmetros!$B$12,"A – Plena",IF(N18&gt;=Parâmetros!$B$13,"B – Alta",IF(N18&gt;=Parâmetros!$B$14,"C – Média",IF(N18&gt;=Parâmetros!$B$15,"D – Baixa","E – Incipiente"))))</f>
        <v>A – Plena</v>
      </c>
      <c r="P18" s="19">
        <f t="shared" si="1"/>
        <v>17</v>
      </c>
      <c r="Q18" s="18">
        <f t="shared" si="2"/>
        <v>81.30788041780049</v>
      </c>
      <c r="R18" s="19">
        <f t="shared" si="3"/>
        <v>15</v>
      </c>
      <c r="S18" s="19">
        <f t="shared" si="4"/>
        <v>-2</v>
      </c>
      <c r="T18" t="str">
        <f>IF(Q18&gt;=Parâmetros!$B$12,"A – Plena",IF(Q18&gt;=Parâmetros!$B$13,"B – Alta",IF(Q18&gt;=Parâmetros!$B$14,"C – Média",IF(Q18&gt;=Parâmetros!$B$15,"D – Baixa","E – Incipiente"))))</f>
        <v>A – Plena</v>
      </c>
      <c r="U18" t="str">
        <f t="shared" si="5"/>
        <v>Não</v>
      </c>
      <c r="V18" s="20">
        <f t="shared" si="6"/>
        <v>74200.829913561305</v>
      </c>
    </row>
    <row r="19" spans="1:22" ht="14.25" customHeight="1" x14ac:dyDescent="0.25">
      <c r="A19" t="str">
        <f>Base_Tratada!A19</f>
        <v>REG-10</v>
      </c>
      <c r="B19" s="9" t="str">
        <f>Base_Tratada!B19</f>
        <v>CPRM - Serviço Geológico do Brasil</v>
      </c>
      <c r="C19" s="9" t="str">
        <f>Base_Tratada!C19</f>
        <v>Nacional</v>
      </c>
      <c r="D19" s="9" t="str">
        <f>Base_Tratada!D19</f>
        <v>Empresa Pública</v>
      </c>
      <c r="E19" s="9" t="str">
        <f>Base_Tratada!E19</f>
        <v>Nacional</v>
      </c>
      <c r="F19" s="15">
        <f>Base_Tratada!F19</f>
        <v>767</v>
      </c>
      <c r="G19" s="15">
        <f>Base_Tratada!G19</f>
        <v>767</v>
      </c>
      <c r="H19" s="15">
        <f>Base_Tratada!H19</f>
        <v>0</v>
      </c>
      <c r="I19" s="16">
        <f>Base_Tratada!I19</f>
        <v>45905</v>
      </c>
      <c r="J19" s="17">
        <f t="shared" si="0"/>
        <v>1</v>
      </c>
      <c r="K19" s="17">
        <f>IF(I19="","",MAX(0,Parâmetros!$B$7-I19))</f>
        <v>293</v>
      </c>
      <c r="L19" s="17">
        <f>IF(I19="","",MIN(1,POWER(0.5,K19/Parâmetros!$B$6)))</f>
        <v>0.75713902569741875</v>
      </c>
      <c r="M19" s="17">
        <f>LN(1+F19)/LN(1+Parâmetros!$B$9)</f>
        <v>0.66669634655848109</v>
      </c>
      <c r="N19" s="18">
        <f>100*(Parâmetros!$B$3*J19+Parâmetros!$B$4*L19+Parâmetros!$B$5*M19)</f>
        <v>83.167274563371691</v>
      </c>
      <c r="O19" t="str">
        <f>IF(N19&gt;=Parâmetros!$B$12,"A – Plena",IF(N19&gt;=Parâmetros!$B$13,"B – Alta",IF(N19&gt;=Parâmetros!$B$14,"C – Média",IF(N19&gt;=Parâmetros!$B$15,"D – Baixa","E – Incipiente"))))</f>
        <v>A – Plena</v>
      </c>
      <c r="P19" s="19">
        <f t="shared" si="1"/>
        <v>18</v>
      </c>
      <c r="Q19" s="18">
        <f t="shared" si="2"/>
        <v>80.794512408529997</v>
      </c>
      <c r="R19" s="19">
        <f t="shared" si="3"/>
        <v>18</v>
      </c>
      <c r="S19" s="19">
        <f t="shared" si="4"/>
        <v>0</v>
      </c>
      <c r="T19" t="str">
        <f>IF(Q19&gt;=Parâmetros!$B$12,"A – Plena",IF(Q19&gt;=Parâmetros!$B$13,"B – Alta",IF(Q19&gt;=Parâmetros!$B$14,"C – Média",IF(Q19&gt;=Parâmetros!$B$15,"D – Baixa","E – Incipiente"))))</f>
        <v>A – Plena</v>
      </c>
      <c r="U19" t="str">
        <f t="shared" si="5"/>
        <v>Não</v>
      </c>
      <c r="V19" s="20">
        <f t="shared" si="6"/>
        <v>63789.299590106086</v>
      </c>
    </row>
    <row r="20" spans="1:22" ht="28.5" customHeight="1" x14ac:dyDescent="0.25">
      <c r="A20" t="str">
        <f>Base_Tratada!A20</f>
        <v>REG-62</v>
      </c>
      <c r="B20" s="9" t="str">
        <f>Base_Tratada!B20</f>
        <v>SEMA/CE - Secretaria do Meio Ambiente e Mudança do Clima do Estado do Ceará</v>
      </c>
      <c r="C20" s="9" t="str">
        <f>Base_Tratada!C20</f>
        <v>Unidade Federativa</v>
      </c>
      <c r="D20" s="9" t="str">
        <f>Base_Tratada!D20</f>
        <v>Órgão do Governo</v>
      </c>
      <c r="E20" s="9" t="str">
        <f>Base_Tratada!E20</f>
        <v>Nordeste</v>
      </c>
      <c r="F20" s="15">
        <f>Base_Tratada!F20</f>
        <v>140</v>
      </c>
      <c r="G20" s="15">
        <f>Base_Tratada!G20</f>
        <v>139</v>
      </c>
      <c r="H20" s="15">
        <f>Base_Tratada!H20</f>
        <v>1</v>
      </c>
      <c r="I20" s="16">
        <f>Base_Tratada!I20</f>
        <v>46065</v>
      </c>
      <c r="J20" s="17">
        <f t="shared" si="0"/>
        <v>0.99285714285714288</v>
      </c>
      <c r="K20" s="17">
        <f>IF(I20="","",MAX(0,Parâmetros!$B$7-I20))</f>
        <v>133</v>
      </c>
      <c r="L20" s="17">
        <f>IF(I20="","",MIN(1,POWER(0.5,K20/Parâmetros!$B$6)))</f>
        <v>0.88136298847861927</v>
      </c>
      <c r="M20" s="17">
        <f>LN(1+F20)/LN(1+Parâmetros!$B$9)</f>
        <v>0.49660213092673139</v>
      </c>
      <c r="N20" s="18">
        <f>100*(Parâmetros!$B$3*J20+Parâmetros!$B$4*L20+Parâmetros!$B$5*M20)</f>
        <v>82.977043584205674</v>
      </c>
      <c r="O20" t="str">
        <f>IF(N20&gt;=Parâmetros!$B$12,"A – Plena",IF(N20&gt;=Parâmetros!$B$13,"B – Alta",IF(N20&gt;=Parâmetros!$B$14,"C – Média",IF(N20&gt;=Parâmetros!$B$15,"D – Baixa","E – Incipiente"))))</f>
        <v>A – Plena</v>
      </c>
      <c r="P20" s="19">
        <f t="shared" si="1"/>
        <v>19</v>
      </c>
      <c r="Q20" s="18">
        <f t="shared" si="2"/>
        <v>79.027408742083125</v>
      </c>
      <c r="R20" s="19">
        <f t="shared" si="3"/>
        <v>21</v>
      </c>
      <c r="S20" s="19">
        <f t="shared" si="4"/>
        <v>2</v>
      </c>
      <c r="T20" t="str">
        <f>IF(Q20&gt;=Parâmetros!$B$12,"A – Plena",IF(Q20&gt;=Parâmetros!$B$13,"B – Alta",IF(Q20&gt;=Parâmetros!$B$14,"C – Média",IF(Q20&gt;=Parâmetros!$B$15,"D – Baixa","E – Incipiente"))))</f>
        <v>B – Alta</v>
      </c>
      <c r="U20" t="str">
        <f t="shared" si="5"/>
        <v>Sim</v>
      </c>
      <c r="V20" s="20">
        <f t="shared" si="6"/>
        <v>11616.786101788794</v>
      </c>
    </row>
    <row r="21" spans="1:22" ht="28.5" customHeight="1" x14ac:dyDescent="0.25">
      <c r="A21" t="str">
        <f>Base_Tratada!A21</f>
        <v>REG-27</v>
      </c>
      <c r="B21" s="9" t="str">
        <f>Base_Tratada!B21</f>
        <v>IDE-SP - Infraestrutura de Dados Espaciais do Estado de São Paulo</v>
      </c>
      <c r="C21" s="9" t="str">
        <f>Base_Tratada!C21</f>
        <v>Unidade Federativa</v>
      </c>
      <c r="D21" s="9" t="str">
        <f>Base_Tratada!D21</f>
        <v>Infraestrutura de Dados Espaciais (IDE)</v>
      </c>
      <c r="E21" s="9" t="str">
        <f>Base_Tratada!E21</f>
        <v>Sudeste</v>
      </c>
      <c r="F21" s="15">
        <f>Base_Tratada!F21</f>
        <v>1053</v>
      </c>
      <c r="G21" s="15">
        <f>Base_Tratada!G21</f>
        <v>1052</v>
      </c>
      <c r="H21" s="15">
        <f>Base_Tratada!H21</f>
        <v>1</v>
      </c>
      <c r="I21" s="16">
        <f>Base_Tratada!I21</f>
        <v>45846</v>
      </c>
      <c r="J21" s="17">
        <f t="shared" si="0"/>
        <v>0.9990503323836657</v>
      </c>
      <c r="K21" s="17">
        <f>IF(I21="","",MAX(0,Parâmetros!$B$7-I21))</f>
        <v>352</v>
      </c>
      <c r="L21" s="17">
        <f>IF(I21="","",MIN(1,POWER(0.5,K21/Parâmetros!$B$6)))</f>
        <v>0.71588919945145169</v>
      </c>
      <c r="M21" s="17">
        <f>LN(1+F21)/LN(1+Parâmetros!$B$9)</f>
        <v>0.69846256250646443</v>
      </c>
      <c r="N21" s="18">
        <f>100*(Parâmetros!$B$3*J21+Parâmetros!$B$4*L21+Parâmetros!$B$5*M21)</f>
        <v>82.479699338809056</v>
      </c>
      <c r="O21" t="str">
        <f>IF(N21&gt;=Parâmetros!$B$12,"A – Plena",IF(N21&gt;=Parâmetros!$B$13,"B – Alta",IF(N21&gt;=Parâmetros!$B$14,"C – Média",IF(N21&gt;=Parâmetros!$B$15,"D – Baixa","E – Incipiente"))))</f>
        <v>A – Plena</v>
      </c>
      <c r="P21" s="19">
        <f t="shared" si="1"/>
        <v>20</v>
      </c>
      <c r="Q21" s="18">
        <f t="shared" si="2"/>
        <v>80.446736478052742</v>
      </c>
      <c r="R21" s="19">
        <f t="shared" si="3"/>
        <v>19</v>
      </c>
      <c r="S21" s="19">
        <f t="shared" si="4"/>
        <v>-1</v>
      </c>
      <c r="T21" t="str">
        <f>IF(Q21&gt;=Parâmetros!$B$12,"A – Plena",IF(Q21&gt;=Parâmetros!$B$13,"B – Alta",IF(Q21&gt;=Parâmetros!$B$14,"C – Média",IF(Q21&gt;=Parâmetros!$B$15,"D – Baixa","E – Incipiente"))))</f>
        <v>A – Plena</v>
      </c>
      <c r="U21" t="str">
        <f t="shared" si="5"/>
        <v>Não</v>
      </c>
      <c r="V21" s="20">
        <f t="shared" si="6"/>
        <v>86851.123403765931</v>
      </c>
    </row>
    <row r="22" spans="1:22" ht="14.25" customHeight="1" x14ac:dyDescent="0.25">
      <c r="A22" t="str">
        <f>Base_Tratada!A22</f>
        <v>REG-56</v>
      </c>
      <c r="B22" s="9" t="str">
        <f>Base_Tratada!B22</f>
        <v>Prefeitura Municipal de Nova Lima (MG)</v>
      </c>
      <c r="C22" s="9" t="str">
        <f>Base_Tratada!C22</f>
        <v>Municipal</v>
      </c>
      <c r="D22" s="9" t="str">
        <f>Base_Tratada!D22</f>
        <v>Prefeitura</v>
      </c>
      <c r="E22" s="9" t="str">
        <f>Base_Tratada!E22</f>
        <v>Sudeste</v>
      </c>
      <c r="F22" s="15">
        <f>Base_Tratada!F22</f>
        <v>16</v>
      </c>
      <c r="G22" s="15">
        <f>Base_Tratada!G22</f>
        <v>16</v>
      </c>
      <c r="H22" s="15">
        <f>Base_Tratada!H22</f>
        <v>0</v>
      </c>
      <c r="I22" s="16">
        <f>Base_Tratada!I22</f>
        <v>46190</v>
      </c>
      <c r="J22" s="17">
        <f t="shared" si="0"/>
        <v>1</v>
      </c>
      <c r="K22" s="17">
        <f>IF(I22="","",MAX(0,Parâmetros!$B$7-I22))</f>
        <v>8</v>
      </c>
      <c r="L22" s="17">
        <f>IF(I22="","",MIN(1,POWER(0.5,K22/Parâmetros!$B$6)))</f>
        <v>0.99243264422383437</v>
      </c>
      <c r="M22" s="17">
        <f>LN(1+F22)/LN(1+Parâmetros!$B$9)</f>
        <v>0.28430956748658315</v>
      </c>
      <c r="N22" s="18">
        <f>100*(Parâmetros!$B$3*J22+Parâmetros!$B$4*L22+Parâmetros!$B$5*M22)</f>
        <v>81.84288173499877</v>
      </c>
      <c r="O22" t="str">
        <f>IF(N22&gt;=Parâmetros!$B$12,"A – Plena",IF(N22&gt;=Parâmetros!$B$13,"B – Alta",IF(N22&gt;=Parâmetros!$B$14,"C – Média",IF(N22&gt;=Parâmetros!$B$15,"D – Baixa","E – Incipiente"))))</f>
        <v>A – Plena</v>
      </c>
      <c r="P22" s="19">
        <f t="shared" si="1"/>
        <v>21</v>
      </c>
      <c r="Q22" s="18">
        <f t="shared" si="2"/>
        <v>75.891407057013907</v>
      </c>
      <c r="R22" s="19">
        <f t="shared" si="3"/>
        <v>24</v>
      </c>
      <c r="S22" s="19">
        <f t="shared" si="4"/>
        <v>3</v>
      </c>
      <c r="T22" t="str">
        <f>IF(Q22&gt;=Parâmetros!$B$12,"A – Plena",IF(Q22&gt;=Parâmetros!$B$13,"B – Alta",IF(Q22&gt;=Parâmetros!$B$14,"C – Média",IF(Q22&gt;=Parâmetros!$B$15,"D – Baixa","E – Incipiente"))))</f>
        <v>B – Alta</v>
      </c>
      <c r="U22" t="str">
        <f t="shared" si="5"/>
        <v>Sim</v>
      </c>
      <c r="V22" s="20">
        <f t="shared" si="6"/>
        <v>1309.4861077599803</v>
      </c>
    </row>
    <row r="23" spans="1:22" ht="28.5" customHeight="1" x14ac:dyDescent="0.25">
      <c r="A23" t="str">
        <f>Base_Tratada!A23</f>
        <v>REG-07</v>
      </c>
      <c r="B23" s="9" t="str">
        <f>Base_Tratada!B23</f>
        <v>Censipam - Centro Gestor e Operacional do Sistema de Proteção da Amazônia</v>
      </c>
      <c r="C23" s="9" t="str">
        <f>Base_Tratada!C23</f>
        <v>Nacional</v>
      </c>
      <c r="D23" s="9" t="str">
        <f>Base_Tratada!D23</f>
        <v>Órgão do Governo</v>
      </c>
      <c r="E23" s="9" t="str">
        <f>Base_Tratada!E23</f>
        <v>Norte</v>
      </c>
      <c r="F23" s="15">
        <f>Base_Tratada!F23</f>
        <v>1385</v>
      </c>
      <c r="G23" s="15">
        <f>Base_Tratada!G23</f>
        <v>1385</v>
      </c>
      <c r="H23" s="15">
        <f>Base_Tratada!H23</f>
        <v>0</v>
      </c>
      <c r="I23" s="16">
        <f>Base_Tratada!I23</f>
        <v>45750</v>
      </c>
      <c r="J23" s="17">
        <f t="shared" si="0"/>
        <v>1</v>
      </c>
      <c r="K23" s="17">
        <f>IF(I23="","",MAX(0,Parâmetros!$B$7-I23))</f>
        <v>448</v>
      </c>
      <c r="L23" s="17">
        <f>IF(I23="","",MIN(1,POWER(0.5,K23/Parâmetros!$B$6)))</f>
        <v>0.65351912869868123</v>
      </c>
      <c r="M23" s="17">
        <f>LN(1+F23)/LN(1+Parâmetros!$B$9)</f>
        <v>0.72594102008266537</v>
      </c>
      <c r="N23" s="18">
        <f>100*(Parâmetros!$B$3*J23+Parâmetros!$B$4*L23+Parâmetros!$B$5*M23)</f>
        <v>81.021695006520474</v>
      </c>
      <c r="O23" t="str">
        <f>IF(N23&gt;=Parâmetros!$B$12,"A – Plena",IF(N23&gt;=Parâmetros!$B$13,"B – Alta",IF(N23&gt;=Parâmetros!$B$14,"C – Média",IF(N23&gt;=Parâmetros!$B$15,"D – Baixa","E – Incipiente"))))</f>
        <v>A – Plena</v>
      </c>
      <c r="P23" s="19">
        <f t="shared" si="1"/>
        <v>22</v>
      </c>
      <c r="Q23" s="18">
        <f t="shared" si="2"/>
        <v>79.315338292711559</v>
      </c>
      <c r="R23" s="19">
        <f t="shared" si="3"/>
        <v>20</v>
      </c>
      <c r="S23" s="19">
        <f t="shared" si="4"/>
        <v>-2</v>
      </c>
      <c r="T23" t="str">
        <f>IF(Q23&gt;=Parâmetros!$B$12,"A – Plena",IF(Q23&gt;=Parâmetros!$B$13,"B – Alta",IF(Q23&gt;=Parâmetros!$B$14,"C – Média",IF(Q23&gt;=Parâmetros!$B$15,"D – Baixa","E – Incipiente"))))</f>
        <v>B – Alta</v>
      </c>
      <c r="U23" t="str">
        <f t="shared" si="5"/>
        <v>Sim</v>
      </c>
      <c r="V23" s="20">
        <f t="shared" si="6"/>
        <v>112215.04758403085</v>
      </c>
    </row>
    <row r="24" spans="1:22" ht="14.25" customHeight="1" x14ac:dyDescent="0.25">
      <c r="A24" t="str">
        <f>Base_Tratada!A24</f>
        <v>REG-14</v>
      </c>
      <c r="B24" s="9" t="str">
        <f>Base_Tratada!B24</f>
        <v>Empresa Teresinense de Processamento de Dados</v>
      </c>
      <c r="C24" s="9" t="str">
        <f>Base_Tratada!C24</f>
        <v>Municipal</v>
      </c>
      <c r="D24" s="9" t="str">
        <f>Base_Tratada!D24</f>
        <v>Empresa Pública</v>
      </c>
      <c r="E24" s="9" t="str">
        <f>Base_Tratada!E24</f>
        <v>Nordeste</v>
      </c>
      <c r="F24" s="15">
        <f>Base_Tratada!F24</f>
        <v>13</v>
      </c>
      <c r="G24" s="15">
        <f>Base_Tratada!G24</f>
        <v>13</v>
      </c>
      <c r="H24" s="15">
        <f>Base_Tratada!H24</f>
        <v>0</v>
      </c>
      <c r="I24" s="16">
        <f>Base_Tratada!I24</f>
        <v>46171</v>
      </c>
      <c r="J24" s="17">
        <f t="shared" si="0"/>
        <v>1</v>
      </c>
      <c r="K24" s="17">
        <f>IF(I24="","",MAX(0,Parâmetros!$B$7-I24))</f>
        <v>27</v>
      </c>
      <c r="L24" s="17">
        <f>IF(I24="","",MIN(1,POWER(0.5,K24/Parâmetros!$B$6)))</f>
        <v>0.97468888568121415</v>
      </c>
      <c r="M24" s="17">
        <f>LN(1+F24)/LN(1+Parâmetros!$B$9)</f>
        <v>0.26482624385815529</v>
      </c>
      <c r="N24" s="18">
        <f>100*(Parâmetros!$B$3*J24+Parâmetros!$B$4*L24+Parâmetros!$B$5*M24)</f>
        <v>80.734767095296377</v>
      </c>
      <c r="O24" t="str">
        <f>IF(N24&gt;=Parâmetros!$B$12,"A – Plena",IF(N24&gt;=Parâmetros!$B$13,"B – Alta",IF(N24&gt;=Parâmetros!$B$14,"C – Média",IF(N24&gt;=Parâmetros!$B$15,"D – Baixa","E – Incipiente"))))</f>
        <v>A – Plena</v>
      </c>
      <c r="P24" s="19">
        <f t="shared" si="1"/>
        <v>23</v>
      </c>
      <c r="Q24" s="18">
        <f t="shared" si="2"/>
        <v>74.650504317978985</v>
      </c>
      <c r="R24" s="19">
        <f t="shared" si="3"/>
        <v>28</v>
      </c>
      <c r="S24" s="19">
        <f t="shared" si="4"/>
        <v>5</v>
      </c>
      <c r="T24" t="str">
        <f>IF(Q24&gt;=Parâmetros!$B$12,"A – Plena",IF(Q24&gt;=Parâmetros!$B$13,"B – Alta",IF(Q24&gt;=Parâmetros!$B$14,"C – Média",IF(Q24&gt;=Parâmetros!$B$15,"D – Baixa","E – Incipiente"))))</f>
        <v>B – Alta</v>
      </c>
      <c r="U24" t="str">
        <f t="shared" si="5"/>
        <v>Sim</v>
      </c>
      <c r="V24" s="20">
        <f t="shared" si="6"/>
        <v>1049.5519722388528</v>
      </c>
    </row>
    <row r="25" spans="1:22" ht="28.5" customHeight="1" x14ac:dyDescent="0.25">
      <c r="A25" t="str">
        <f>Base_Tratada!A25</f>
        <v>REG-25</v>
      </c>
      <c r="B25" s="9" t="str">
        <f>Base_Tratada!B25</f>
        <v>IDE-SEFIN - Secretaria Municipal das Finanças de Fortaleza (CE)</v>
      </c>
      <c r="C25" s="9" t="str">
        <f>Base_Tratada!C25</f>
        <v>Municipal</v>
      </c>
      <c r="D25" s="9" t="str">
        <f>Base_Tratada!D25</f>
        <v>Infraestrutura de Dados Espaciais (IDE)</v>
      </c>
      <c r="E25" s="9" t="str">
        <f>Base_Tratada!E25</f>
        <v>Nordeste</v>
      </c>
      <c r="F25" s="15">
        <f>Base_Tratada!F25</f>
        <v>218</v>
      </c>
      <c r="G25" s="15">
        <f>Base_Tratada!G25</f>
        <v>218</v>
      </c>
      <c r="H25" s="15">
        <f>Base_Tratada!H25</f>
        <v>0</v>
      </c>
      <c r="I25" s="16">
        <f>Base_Tratada!I25</f>
        <v>45923</v>
      </c>
      <c r="J25" s="17">
        <f t="shared" si="0"/>
        <v>1</v>
      </c>
      <c r="K25" s="17">
        <f>IF(I25="","",MAX(0,Parâmetros!$B$7-I25))</f>
        <v>275</v>
      </c>
      <c r="L25" s="17">
        <f>IF(I25="","",MIN(1,POWER(0.5,K25/Parâmetros!$B$6)))</f>
        <v>0.77019073380590153</v>
      </c>
      <c r="M25" s="17">
        <f>LN(1+F25)/LN(1+Parâmetros!$B$9)</f>
        <v>0.54078689692487225</v>
      </c>
      <c r="N25" s="18">
        <f>100*(Parâmetros!$B$3*J25+Parâmetros!$B$4*L25+Parâmetros!$B$5*M25)</f>
        <v>80.476348106328359</v>
      </c>
      <c r="O25" t="str">
        <f>IF(N25&gt;=Parâmetros!$B$12,"A – Plena",IF(N25&gt;=Parâmetros!$B$13,"B – Alta",IF(N25&gt;=Parâmetros!$B$14,"C – Média",IF(N25&gt;=Parâmetros!$B$15,"D – Baixa","E – Incipiente"))))</f>
        <v>A – Plena</v>
      </c>
      <c r="P25" s="19">
        <f t="shared" si="1"/>
        <v>24</v>
      </c>
      <c r="Q25" s="18">
        <f t="shared" si="2"/>
        <v>77.032587691025796</v>
      </c>
      <c r="R25" s="19">
        <f t="shared" si="3"/>
        <v>22</v>
      </c>
      <c r="S25" s="19">
        <f t="shared" si="4"/>
        <v>-2</v>
      </c>
      <c r="T25" t="str">
        <f>IF(Q25&gt;=Parâmetros!$B$12,"A – Plena",IF(Q25&gt;=Parâmetros!$B$13,"B – Alta",IF(Q25&gt;=Parâmetros!$B$14,"C – Média",IF(Q25&gt;=Parâmetros!$B$15,"D – Baixa","E – Incipiente"))))</f>
        <v>B – Alta</v>
      </c>
      <c r="U25" t="str">
        <f t="shared" si="5"/>
        <v>Sim</v>
      </c>
      <c r="V25" s="20">
        <f t="shared" si="6"/>
        <v>17543.843887179581</v>
      </c>
    </row>
    <row r="26" spans="1:22" ht="14.25" customHeight="1" x14ac:dyDescent="0.25">
      <c r="A26" t="str">
        <f>Base_Tratada!A26</f>
        <v>REG-59</v>
      </c>
      <c r="B26" s="9" t="str">
        <f>Base_Tratada!B26</f>
        <v>Secretaria do Patrimônio da União</v>
      </c>
      <c r="C26" s="9" t="str">
        <f>Base_Tratada!C26</f>
        <v>Nacional</v>
      </c>
      <c r="D26" s="9" t="str">
        <f>Base_Tratada!D26</f>
        <v>Órgão do Governo</v>
      </c>
      <c r="E26" s="9" t="str">
        <f>Base_Tratada!E26</f>
        <v>Nacional</v>
      </c>
      <c r="F26" s="15">
        <f>Base_Tratada!F26</f>
        <v>19</v>
      </c>
      <c r="G26" s="15">
        <f>Base_Tratada!G26</f>
        <v>18</v>
      </c>
      <c r="H26" s="15">
        <f>Base_Tratada!H26</f>
        <v>1</v>
      </c>
      <c r="I26" s="16">
        <f>Base_Tratada!I26</f>
        <v>46196</v>
      </c>
      <c r="J26" s="17">
        <f t="shared" si="0"/>
        <v>0.94736842105263153</v>
      </c>
      <c r="K26" s="17">
        <f>IF(I26="","",MAX(0,Parâmetros!$B$7-I26))</f>
        <v>2</v>
      </c>
      <c r="L26" s="17">
        <f>IF(I26="","",MIN(1,POWER(0.5,K26/Parâmetros!$B$6)))</f>
        <v>0.99810276865159464</v>
      </c>
      <c r="M26" s="17">
        <f>LN(1+F26)/LN(1+Parâmetros!$B$9)</f>
        <v>0.30061814751315596</v>
      </c>
      <c r="N26" s="18">
        <f>100*(Parâmetros!$B$3*J26+Parâmetros!$B$4*L26+Parâmetros!$B$5*M26)</f>
        <v>80.343787432739973</v>
      </c>
      <c r="O26" t="str">
        <f>IF(N26&gt;=Parâmetros!$B$12,"A – Plena",IF(N26&gt;=Parâmetros!$B$13,"B – Alta",IF(N26&gt;=Parâmetros!$B$14,"C – Média",IF(N26&gt;=Parâmetros!$B$15,"D – Baixa","E – Incipiente"))))</f>
        <v>A – Plena</v>
      </c>
      <c r="P26" s="19">
        <f t="shared" si="1"/>
        <v>25</v>
      </c>
      <c r="Q26" s="18">
        <f t="shared" si="2"/>
        <v>74.869644573912737</v>
      </c>
      <c r="R26" s="19">
        <f t="shared" si="3"/>
        <v>27</v>
      </c>
      <c r="S26" s="19">
        <f t="shared" si="4"/>
        <v>2</v>
      </c>
      <c r="T26" t="str">
        <f>IF(Q26&gt;=Parâmetros!$B$12,"A – Plena",IF(Q26&gt;=Parâmetros!$B$13,"B – Alta",IF(Q26&gt;=Parâmetros!$B$14,"C – Média",IF(Q26&gt;=Parâmetros!$B$15,"D – Baixa","E – Incipiente"))))</f>
        <v>B – Alta</v>
      </c>
      <c r="U26" t="str">
        <f t="shared" si="5"/>
        <v>Sim</v>
      </c>
      <c r="V26" s="20">
        <f t="shared" si="6"/>
        <v>1526.5319612220594</v>
      </c>
    </row>
    <row r="27" spans="1:22" ht="14.25" customHeight="1" x14ac:dyDescent="0.25">
      <c r="A27" t="str">
        <f>Base_Tratada!A27</f>
        <v>REG-18</v>
      </c>
      <c r="B27" s="9" t="str">
        <f>Base_Tratada!B27</f>
        <v>Governo do Distrito Federal</v>
      </c>
      <c r="C27" s="9" t="str">
        <f>Base_Tratada!C27</f>
        <v>Unidade Federativa</v>
      </c>
      <c r="D27" s="9" t="str">
        <f>Base_Tratada!D27</f>
        <v>Órgão do Governo</v>
      </c>
      <c r="E27" s="9" t="str">
        <f>Base_Tratada!E27</f>
        <v>Nacional</v>
      </c>
      <c r="F27" s="15">
        <f>Base_Tratada!F27</f>
        <v>100</v>
      </c>
      <c r="G27" s="15">
        <f>Base_Tratada!G27</f>
        <v>100</v>
      </c>
      <c r="H27" s="15">
        <f>Base_Tratada!H27</f>
        <v>0</v>
      </c>
      <c r="I27" s="16">
        <f>Base_Tratada!I27</f>
        <v>45979</v>
      </c>
      <c r="J27" s="17">
        <f t="shared" si="0"/>
        <v>1</v>
      </c>
      <c r="K27" s="17">
        <f>IF(I27="","",MAX(0,Parâmetros!$B$7-I27))</f>
        <v>219</v>
      </c>
      <c r="L27" s="17">
        <f>IF(I27="","",MIN(1,POWER(0.5,K27/Parâmetros!$B$6)))</f>
        <v>0.81225239635623547</v>
      </c>
      <c r="M27" s="17">
        <f>LN(1+F27)/LN(1+Parâmetros!$B$9)</f>
        <v>0.46312181918608086</v>
      </c>
      <c r="N27" s="18">
        <f>100*(Parâmetros!$B$3*J27+Parâmetros!$B$4*L27+Parâmetros!$B$5*M27)</f>
        <v>80.006879352120265</v>
      </c>
      <c r="O27" t="str">
        <f>IF(N27&gt;=Parâmetros!$B$12,"A – Plena",IF(N27&gt;=Parâmetros!$B$13,"B – Alta",IF(N27&gt;=Parâmetros!$B$14,"C – Média",IF(N27&gt;=Parâmetros!$B$15,"D – Baixa","E – Incipiente"))))</f>
        <v>A – Plena</v>
      </c>
      <c r="P27" s="19">
        <f t="shared" si="1"/>
        <v>26</v>
      </c>
      <c r="Q27" s="18">
        <f t="shared" si="2"/>
        <v>75.845807184743876</v>
      </c>
      <c r="R27" s="19">
        <f t="shared" si="3"/>
        <v>25</v>
      </c>
      <c r="S27" s="19">
        <f t="shared" si="4"/>
        <v>-1</v>
      </c>
      <c r="T27" t="str">
        <f>IF(Q27&gt;=Parâmetros!$B$12,"A – Plena",IF(Q27&gt;=Parâmetros!$B$13,"B – Alta",IF(Q27&gt;=Parâmetros!$B$14,"C – Média",IF(Q27&gt;=Parâmetros!$B$15,"D – Baixa","E – Incipiente"))))</f>
        <v>B – Alta</v>
      </c>
      <c r="U27" t="str">
        <f t="shared" si="5"/>
        <v>Sim</v>
      </c>
      <c r="V27" s="20">
        <f t="shared" si="6"/>
        <v>8000.6879352120268</v>
      </c>
    </row>
    <row r="28" spans="1:22" ht="14.25" customHeight="1" x14ac:dyDescent="0.25">
      <c r="A28" t="str">
        <f>Base_Tratada!A28</f>
        <v>REG-68</v>
      </c>
      <c r="B28" s="9" t="str">
        <f>Base_Tratada!B28</f>
        <v>UFABC - Universidade Federal do ABC</v>
      </c>
      <c r="C28" s="9" t="str">
        <f>Base_Tratada!C28</f>
        <v>Nacional</v>
      </c>
      <c r="D28" s="9" t="str">
        <f>Base_Tratada!D28</f>
        <v>Academia</v>
      </c>
      <c r="E28" s="9" t="str">
        <f>Base_Tratada!E28</f>
        <v>Nacional</v>
      </c>
      <c r="F28" s="15">
        <f>Base_Tratada!F28</f>
        <v>54</v>
      </c>
      <c r="G28" s="15">
        <f>Base_Tratada!G28</f>
        <v>48</v>
      </c>
      <c r="H28" s="15">
        <f>Base_Tratada!H28</f>
        <v>6</v>
      </c>
      <c r="I28" s="16">
        <f>Base_Tratada!I28</f>
        <v>46158</v>
      </c>
      <c r="J28" s="17">
        <f t="shared" si="0"/>
        <v>0.88888888888888884</v>
      </c>
      <c r="K28" s="17">
        <f>IF(I28="","",MAX(0,Parâmetros!$B$7-I28))</f>
        <v>40</v>
      </c>
      <c r="L28" s="17">
        <f>IF(I28="","",MIN(1,POWER(0.5,K28/Parâmetros!$B$6)))</f>
        <v>0.96273155278840761</v>
      </c>
      <c r="M28" s="17">
        <f>LN(1+F28)/LN(1+Parâmetros!$B$9)</f>
        <v>0.4021310880305769</v>
      </c>
      <c r="N28" s="18">
        <f>100*(Parâmetros!$B$3*J28+Parâmetros!$B$4*L28+Parâmetros!$B$5*M28)</f>
        <v>79.304437103914253</v>
      </c>
      <c r="O28" t="str">
        <f>IF(N28&gt;=Parâmetros!$B$12,"A – Plena",IF(N28&gt;=Parâmetros!$B$13,"B – Alta",IF(N28&gt;=Parâmetros!$B$14,"C – Média",IF(N28&gt;=Parâmetros!$B$15,"D – Baixa","E – Incipiente"))))</f>
        <v>B – Alta</v>
      </c>
      <c r="P28" s="19">
        <f t="shared" si="1"/>
        <v>27</v>
      </c>
      <c r="Q28" s="18">
        <f t="shared" si="2"/>
        <v>75.125050990262437</v>
      </c>
      <c r="R28" s="19">
        <f t="shared" si="3"/>
        <v>26</v>
      </c>
      <c r="S28" s="19">
        <f t="shared" si="4"/>
        <v>-1</v>
      </c>
      <c r="T28" t="str">
        <f>IF(Q28&gt;=Parâmetros!$B$12,"A – Plena",IF(Q28&gt;=Parâmetros!$B$13,"B – Alta",IF(Q28&gt;=Parâmetros!$B$14,"C – Média",IF(Q28&gt;=Parâmetros!$B$15,"D – Baixa","E – Incipiente"))))</f>
        <v>B – Alta</v>
      </c>
      <c r="U28" t="str">
        <f t="shared" si="5"/>
        <v>Não</v>
      </c>
      <c r="V28" s="20">
        <f t="shared" si="6"/>
        <v>4282.4396036113694</v>
      </c>
    </row>
    <row r="29" spans="1:22" ht="28.5" customHeight="1" x14ac:dyDescent="0.25">
      <c r="A29" t="str">
        <f>Base_Tratada!A29</f>
        <v>REG-65</v>
      </c>
      <c r="B29" s="9" t="str">
        <f>Base_Tratada!B29</f>
        <v>SEPLAG/MT - Secretaria de Estado de Planejamento e Gestão de Mato Grosso</v>
      </c>
      <c r="C29" s="9" t="str">
        <f>Base_Tratada!C29</f>
        <v>Unidade Federativa</v>
      </c>
      <c r="D29" s="9" t="str">
        <f>Base_Tratada!D29</f>
        <v>Órgão do Governo</v>
      </c>
      <c r="E29" s="9" t="str">
        <f>Base_Tratada!E29</f>
        <v>Centro Oeste</v>
      </c>
      <c r="F29" s="15">
        <f>Base_Tratada!F29</f>
        <v>322</v>
      </c>
      <c r="G29" s="15">
        <f>Base_Tratada!G29</f>
        <v>322</v>
      </c>
      <c r="H29" s="15">
        <f>Base_Tratada!H29</f>
        <v>0</v>
      </c>
      <c r="I29" s="16">
        <f>Base_Tratada!I29</f>
        <v>45834</v>
      </c>
      <c r="J29" s="17">
        <f t="shared" si="0"/>
        <v>1</v>
      </c>
      <c r="K29" s="17">
        <f>IF(I29="","",MAX(0,Parâmetros!$B$7-I29))</f>
        <v>364</v>
      </c>
      <c r="L29" s="17">
        <f>IF(I29="","",MIN(1,POWER(0.5,K29/Parâmetros!$B$6)))</f>
        <v>0.70777850973211764</v>
      </c>
      <c r="M29" s="17">
        <f>LN(1+F29)/LN(1+Parâmetros!$B$9)</f>
        <v>0.57978049431024159</v>
      </c>
      <c r="N29" s="18">
        <f>100*(Parâmetros!$B$3*J29+Parâmetros!$B$4*L29+Parâmetros!$B$5*M29)</f>
        <v>79.266760198380155</v>
      </c>
      <c r="O29" t="str">
        <f>IF(N29&gt;=Parâmetros!$B$12,"A – Plena",IF(N29&gt;=Parâmetros!$B$13,"B – Alta",IF(N29&gt;=Parâmetros!$B$14,"C – Média",IF(N29&gt;=Parâmetros!$B$15,"D – Baixa","E – Incipiente"))))</f>
        <v>B – Alta</v>
      </c>
      <c r="P29" s="19">
        <f t="shared" si="1"/>
        <v>28</v>
      </c>
      <c r="Q29" s="18">
        <f t="shared" si="2"/>
        <v>76.251966801411967</v>
      </c>
      <c r="R29" s="19">
        <f t="shared" si="3"/>
        <v>23</v>
      </c>
      <c r="S29" s="19">
        <f t="shared" si="4"/>
        <v>-5</v>
      </c>
      <c r="T29" t="str">
        <f>IF(Q29&gt;=Parâmetros!$B$12,"A – Plena",IF(Q29&gt;=Parâmetros!$B$13,"B – Alta",IF(Q29&gt;=Parâmetros!$B$14,"C – Média",IF(Q29&gt;=Parâmetros!$B$15,"D – Baixa","E – Incipiente"))))</f>
        <v>B – Alta</v>
      </c>
      <c r="U29" t="str">
        <f t="shared" si="5"/>
        <v>Não</v>
      </c>
      <c r="V29" s="20">
        <f t="shared" si="6"/>
        <v>25523.896783878408</v>
      </c>
    </row>
    <row r="30" spans="1:22" ht="14.25" customHeight="1" x14ac:dyDescent="0.25">
      <c r="A30" t="str">
        <f>Base_Tratada!A30</f>
        <v>REG-60</v>
      </c>
      <c r="B30" s="9" t="str">
        <f>Base_Tratada!B30</f>
        <v>Secretaria Municipal da Fazenda de Salvador (BA)</v>
      </c>
      <c r="C30" s="9" t="str">
        <f>Base_Tratada!C30</f>
        <v>Municipal</v>
      </c>
      <c r="D30" s="9" t="str">
        <f>Base_Tratada!D30</f>
        <v>Órgãos das Prefeituras</v>
      </c>
      <c r="E30" s="9" t="str">
        <f>Base_Tratada!E30</f>
        <v>Nacional</v>
      </c>
      <c r="F30" s="15">
        <f>Base_Tratada!F30</f>
        <v>25</v>
      </c>
      <c r="G30" s="15">
        <f>Base_Tratada!G30</f>
        <v>23</v>
      </c>
      <c r="H30" s="15">
        <f>Base_Tratada!H30</f>
        <v>2</v>
      </c>
      <c r="I30" s="16">
        <f>Base_Tratada!I30</f>
        <v>46158</v>
      </c>
      <c r="J30" s="17">
        <f t="shared" si="0"/>
        <v>0.92</v>
      </c>
      <c r="K30" s="17">
        <f>IF(I30="","",MAX(0,Parâmetros!$B$7-I30))</f>
        <v>40</v>
      </c>
      <c r="L30" s="17">
        <f>IF(I30="","",MIN(1,POWER(0.5,K30/Parâmetros!$B$6)))</f>
        <v>0.96273155278840761</v>
      </c>
      <c r="M30" s="17">
        <f>LN(1+F30)/LN(1+Parâmetros!$B$9)</f>
        <v>0.32694608738085973</v>
      </c>
      <c r="N30" s="18">
        <f>100*(Parâmetros!$B$3*J30+Parâmetros!$B$4*L30+Parâmetros!$B$5*M30)</f>
        <v>78.669256532115767</v>
      </c>
      <c r="O30" t="str">
        <f>IF(N30&gt;=Parâmetros!$B$12,"A – Plena",IF(N30&gt;=Parâmetros!$B$13,"B – Alta",IF(N30&gt;=Parâmetros!$B$14,"C – Média",IF(N30&gt;=Parâmetros!$B$15,"D – Baixa","E – Incipiente"))))</f>
        <v>B – Alta</v>
      </c>
      <c r="P30" s="19">
        <f t="shared" si="1"/>
        <v>29</v>
      </c>
      <c r="Q30" s="18">
        <f t="shared" si="2"/>
        <v>73.655921338975574</v>
      </c>
      <c r="R30" s="19">
        <f t="shared" si="3"/>
        <v>29</v>
      </c>
      <c r="S30" s="19">
        <f t="shared" si="4"/>
        <v>0</v>
      </c>
      <c r="T30" t="str">
        <f>IF(Q30&gt;=Parâmetros!$B$12,"A – Plena",IF(Q30&gt;=Parâmetros!$B$13,"B – Alta",IF(Q30&gt;=Parâmetros!$B$14,"C – Média",IF(Q30&gt;=Parâmetros!$B$15,"D – Baixa","E – Incipiente"))))</f>
        <v>B – Alta</v>
      </c>
      <c r="U30" t="str">
        <f t="shared" si="5"/>
        <v>Não</v>
      </c>
      <c r="V30" s="20">
        <f t="shared" si="6"/>
        <v>1966.7314133028942</v>
      </c>
    </row>
    <row r="31" spans="1:22" ht="14.25" customHeight="1" x14ac:dyDescent="0.25">
      <c r="A31" t="str">
        <f>Base_Tratada!A31</f>
        <v>REG-30</v>
      </c>
      <c r="B31" s="9" t="str">
        <f>Base_Tratada!B31</f>
        <v>INEA - Instituto Estadual do Ambiente (RJ)</v>
      </c>
      <c r="C31" s="9" t="str">
        <f>Base_Tratada!C31</f>
        <v>Unidade Federativa</v>
      </c>
      <c r="D31" s="9" t="str">
        <f>Base_Tratada!D31</f>
        <v>Órgão do Governo</v>
      </c>
      <c r="E31" s="9" t="str">
        <f>Base_Tratada!E31</f>
        <v>Sudeste</v>
      </c>
      <c r="F31" s="15">
        <f>Base_Tratada!F31</f>
        <v>736</v>
      </c>
      <c r="G31" s="15">
        <f>Base_Tratada!G31</f>
        <v>593</v>
      </c>
      <c r="H31" s="15">
        <f>Base_Tratada!H31</f>
        <v>143</v>
      </c>
      <c r="I31" s="16">
        <f>Base_Tratada!I31</f>
        <v>45864</v>
      </c>
      <c r="J31" s="17">
        <f t="shared" si="0"/>
        <v>0.80570652173913049</v>
      </c>
      <c r="K31" s="17">
        <f>IF(I31="","",MAX(0,Parâmetros!$B$7-I31))</f>
        <v>334</v>
      </c>
      <c r="L31" s="17">
        <f>IF(I31="","",MIN(1,POWER(0.5,K31/Parâmetros!$B$6)))</f>
        <v>0.72822983512354533</v>
      </c>
      <c r="M31" s="17">
        <f>LN(1+F31)/LN(1+Parâmetros!$B$9)</f>
        <v>0.66256179114030533</v>
      </c>
      <c r="N31" s="18">
        <f>100*(Parâmetros!$B$3*J31+Parâmetros!$B$4*L31+Parâmetros!$B$5*M31)</f>
        <v>74.280349877396944</v>
      </c>
      <c r="O31" t="str">
        <f>IF(N31&gt;=Parâmetros!$B$12,"A – Plena",IF(N31&gt;=Parâmetros!$B$13,"B – Alta",IF(N31&gt;=Parâmetros!$B$14,"C – Média",IF(N31&gt;=Parâmetros!$B$15,"D – Baixa","E – Incipiente"))))</f>
        <v>B – Alta</v>
      </c>
      <c r="P31" s="19">
        <f t="shared" si="1"/>
        <v>30</v>
      </c>
      <c r="Q31" s="18">
        <f t="shared" si="2"/>
        <v>73.216604933432706</v>
      </c>
      <c r="R31" s="19">
        <f t="shared" si="3"/>
        <v>30</v>
      </c>
      <c r="S31" s="19">
        <f t="shared" si="4"/>
        <v>0</v>
      </c>
      <c r="T31" t="str">
        <f>IF(Q31&gt;=Parâmetros!$B$12,"A – Plena",IF(Q31&gt;=Parâmetros!$B$13,"B – Alta",IF(Q31&gt;=Parâmetros!$B$14,"C – Média",IF(Q31&gt;=Parâmetros!$B$15,"D – Baixa","E – Incipiente"))))</f>
        <v>B – Alta</v>
      </c>
      <c r="U31" t="str">
        <f t="shared" si="5"/>
        <v>Não</v>
      </c>
      <c r="V31" s="20">
        <f t="shared" si="6"/>
        <v>54670.337509764147</v>
      </c>
    </row>
    <row r="32" spans="1:22" ht="14.25" customHeight="1" x14ac:dyDescent="0.25">
      <c r="A32" t="str">
        <f>Base_Tratada!A32</f>
        <v>REG-57</v>
      </c>
      <c r="B32" s="9" t="str">
        <f>Base_Tratada!B32</f>
        <v>Prefeitura Municipal de Santo André (SP)</v>
      </c>
      <c r="C32" s="9" t="str">
        <f>Base_Tratada!C32</f>
        <v>Municipal</v>
      </c>
      <c r="D32" s="9" t="str">
        <f>Base_Tratada!D32</f>
        <v>Prefeitura</v>
      </c>
      <c r="E32" s="9" t="str">
        <f>Base_Tratada!E32</f>
        <v>Sudeste</v>
      </c>
      <c r="F32" s="15">
        <f>Base_Tratada!F32</f>
        <v>175</v>
      </c>
      <c r="G32" s="15">
        <f>Base_Tratada!G32</f>
        <v>173</v>
      </c>
      <c r="H32" s="15">
        <f>Base_Tratada!H32</f>
        <v>2</v>
      </c>
      <c r="I32" s="16">
        <f>Base_Tratada!I32</f>
        <v>45667</v>
      </c>
      <c r="J32" s="17">
        <f t="shared" si="0"/>
        <v>0.98857142857142855</v>
      </c>
      <c r="K32" s="17">
        <f>IF(I32="","",MAX(0,Parâmetros!$B$7-I32))</f>
        <v>531</v>
      </c>
      <c r="L32" s="17">
        <f>IF(I32="","",MIN(1,POWER(0.5,K32/Parâmetros!$B$6)))</f>
        <v>0.6039925834941331</v>
      </c>
      <c r="M32" s="17">
        <f>LN(1+F32)/LN(1+Parâmetros!$B$9)</f>
        <v>0.51885187940736643</v>
      </c>
      <c r="N32" s="18">
        <f>100*(Parâmetros!$B$3*J32+Parâmetros!$B$4*L32+Parâmetros!$B$5*M32)</f>
        <v>73.653894550335949</v>
      </c>
      <c r="O32" t="str">
        <f>IF(N32&gt;=Parâmetros!$B$12,"A – Plena",IF(N32&gt;=Parâmetros!$B$13,"B – Alta",IF(N32&gt;=Parâmetros!$B$14,"C – Média",IF(N32&gt;=Parâmetros!$B$15,"D – Baixa","E – Incipiente"))))</f>
        <v>B – Alta</v>
      </c>
      <c r="P32" s="19">
        <f t="shared" si="1"/>
        <v>31</v>
      </c>
      <c r="Q32" s="18">
        <f t="shared" si="2"/>
        <v>70.380529715764283</v>
      </c>
      <c r="R32" s="19">
        <f t="shared" si="3"/>
        <v>31</v>
      </c>
      <c r="S32" s="19">
        <f t="shared" si="4"/>
        <v>0</v>
      </c>
      <c r="T32" t="str">
        <f>IF(Q32&gt;=Parâmetros!$B$12,"A – Plena",IF(Q32&gt;=Parâmetros!$B$13,"B – Alta",IF(Q32&gt;=Parâmetros!$B$14,"C – Média",IF(Q32&gt;=Parâmetros!$B$15,"D – Baixa","E – Incipiente"))))</f>
        <v>B – Alta</v>
      </c>
      <c r="U32" t="str">
        <f t="shared" si="5"/>
        <v>Não</v>
      </c>
      <c r="V32" s="20">
        <f t="shared" si="6"/>
        <v>12889.431546308791</v>
      </c>
    </row>
    <row r="33" spans="1:22" ht="28.5" customHeight="1" x14ac:dyDescent="0.25">
      <c r="A33" t="str">
        <f>Base_Tratada!A33</f>
        <v>REG-11</v>
      </c>
      <c r="B33" s="9" t="str">
        <f>Base_Tratada!B33</f>
        <v>DNIT - Departamento Nacional de Infraestrutura de Transportes</v>
      </c>
      <c r="C33" s="9" t="str">
        <f>Base_Tratada!C33</f>
        <v>Nacional</v>
      </c>
      <c r="D33" s="9" t="str">
        <f>Base_Tratada!D33</f>
        <v>Autarquia</v>
      </c>
      <c r="E33" s="9" t="str">
        <f>Base_Tratada!E33</f>
        <v>Nacional</v>
      </c>
      <c r="F33" s="15">
        <f>Base_Tratada!F33</f>
        <v>40</v>
      </c>
      <c r="G33" s="15">
        <f>Base_Tratada!G33</f>
        <v>34</v>
      </c>
      <c r="H33" s="15">
        <f>Base_Tratada!H33</f>
        <v>6</v>
      </c>
      <c r="I33" s="16">
        <f>Base_Tratada!I33</f>
        <v>46038</v>
      </c>
      <c r="J33" s="17">
        <f t="shared" si="0"/>
        <v>0.85</v>
      </c>
      <c r="K33" s="17">
        <f>IF(I33="","",MAX(0,Parâmetros!$B$7-I33))</f>
        <v>160</v>
      </c>
      <c r="L33" s="17">
        <f>IF(I33="","",MIN(1,POWER(0.5,K33/Parâmetros!$B$6)))</f>
        <v>0.85905470912089021</v>
      </c>
      <c r="M33" s="17">
        <f>LN(1+F33)/LN(1+Parâmetros!$B$9)</f>
        <v>0.372652511442502</v>
      </c>
      <c r="N33" s="18">
        <f>100*(Parâmetros!$B$3*J33+Parâmetros!$B$4*L33+Parâmetros!$B$5*M33)</f>
        <v>73.383227605293712</v>
      </c>
      <c r="O33" t="str">
        <f>IF(N33&gt;=Parâmetros!$B$12,"A – Plena",IF(N33&gt;=Parâmetros!$B$13,"B – Alta",IF(N33&gt;=Parâmetros!$B$14,"C – Média",IF(N33&gt;=Parâmetros!$B$15,"D – Baixa","E – Incipiente"))))</f>
        <v>B – Alta</v>
      </c>
      <c r="P33" s="19">
        <f t="shared" si="1"/>
        <v>32</v>
      </c>
      <c r="Q33" s="18">
        <f t="shared" si="2"/>
        <v>69.390240685446415</v>
      </c>
      <c r="R33" s="19">
        <f t="shared" si="3"/>
        <v>32</v>
      </c>
      <c r="S33" s="19">
        <f t="shared" si="4"/>
        <v>0</v>
      </c>
      <c r="T33" t="str">
        <f>IF(Q33&gt;=Parâmetros!$B$12,"A – Plena",IF(Q33&gt;=Parâmetros!$B$13,"B – Alta",IF(Q33&gt;=Parâmetros!$B$14,"C – Média",IF(Q33&gt;=Parâmetros!$B$15,"D – Baixa","E – Incipiente"))))</f>
        <v>B – Alta</v>
      </c>
      <c r="U33" t="str">
        <f t="shared" si="5"/>
        <v>Não</v>
      </c>
      <c r="V33" s="20">
        <f t="shared" si="6"/>
        <v>2935.3291042117485</v>
      </c>
    </row>
    <row r="34" spans="1:22" ht="28.5" customHeight="1" x14ac:dyDescent="0.25">
      <c r="A34" t="str">
        <f>Base_Tratada!A34</f>
        <v>REG-22</v>
      </c>
      <c r="B34" s="9" t="str">
        <f>Base_Tratada!B34</f>
        <v>ICMBio - Instituto Chico Mendes de Conservação da Biodiversidade</v>
      </c>
      <c r="C34" s="9" t="str">
        <f>Base_Tratada!C34</f>
        <v>Nacional</v>
      </c>
      <c r="D34" s="9" t="str">
        <f>Base_Tratada!D34</f>
        <v>Autarquia</v>
      </c>
      <c r="E34" s="9" t="str">
        <f>Base_Tratada!E34</f>
        <v>Nacional</v>
      </c>
      <c r="F34" s="15">
        <f>Base_Tratada!F34</f>
        <v>23</v>
      </c>
      <c r="G34" s="15">
        <f>Base_Tratada!G34</f>
        <v>17</v>
      </c>
      <c r="H34" s="15">
        <f>Base_Tratada!H34</f>
        <v>6</v>
      </c>
      <c r="I34" s="16">
        <f>Base_Tratada!I34</f>
        <v>46196</v>
      </c>
      <c r="J34" s="17">
        <f t="shared" ref="J34:J70" si="7">IFERROR(G34/F34,"")</f>
        <v>0.73913043478260865</v>
      </c>
      <c r="K34" s="17">
        <f>IF(I34="","",MAX(0,Parâmetros!$B$7-I34))</f>
        <v>2</v>
      </c>
      <c r="L34" s="17">
        <f>IF(I34="","",MIN(1,POWER(0.5,K34/Parâmetros!$B$6)))</f>
        <v>0.99810276865159464</v>
      </c>
      <c r="M34" s="17">
        <f>LN(1+F34)/LN(1+Parâmetros!$B$9)</f>
        <v>0.31891389748352644</v>
      </c>
      <c r="N34" s="18">
        <f>100*(Parâmetros!$B$3*J34+Parâmetros!$B$4*L34+Parâmetros!$B$5*M34)</f>
        <v>72.47166173119831</v>
      </c>
      <c r="O34" t="str">
        <f>IF(N34&gt;=Parâmetros!$B$12,"A – Plena",IF(N34&gt;=Parâmetros!$B$13,"B – Alta",IF(N34&gt;=Parâmetros!$B$14,"C – Média",IF(N34&gt;=Parâmetros!$B$15,"D – Baixa","E – Incipiente"))))</f>
        <v>B – Alta</v>
      </c>
      <c r="P34" s="19">
        <f t="shared" ref="P34:P70" si="8">RANK(N34,$N$2:$N$70,0)</f>
        <v>33</v>
      </c>
      <c r="Q34" s="18">
        <f t="shared" ref="Q34:Q70" si="9">100*(J34+L34+M34)/3</f>
        <v>68.538236697257659</v>
      </c>
      <c r="R34" s="19">
        <f t="shared" ref="R34:R65" si="10">RANK(Q34,$Q$2:$Q$70,0)</f>
        <v>33</v>
      </c>
      <c r="S34" s="19">
        <f t="shared" ref="S34:S65" si="11">R34-P34</f>
        <v>0</v>
      </c>
      <c r="T34" t="str">
        <f>IF(Q34&gt;=Parâmetros!$B$12,"A – Plena",IF(Q34&gt;=Parâmetros!$B$13,"B – Alta",IF(Q34&gt;=Parâmetros!$B$14,"C – Média",IF(Q34&gt;=Parâmetros!$B$15,"D – Baixa","E – Incipiente"))))</f>
        <v>B – Alta</v>
      </c>
      <c r="U34" t="str">
        <f t="shared" ref="U34:U65" si="12">IF(O34=T34,"Não","Sim")</f>
        <v>Não</v>
      </c>
      <c r="V34" s="20">
        <f t="shared" ref="V34:V70" si="13">N34*F34</f>
        <v>1666.8482198175611</v>
      </c>
    </row>
    <row r="35" spans="1:22" ht="14.25" customHeight="1" x14ac:dyDescent="0.25">
      <c r="A35" t="str">
        <f>Base_Tratada!A35</f>
        <v>REG-48</v>
      </c>
      <c r="B35" s="9" t="str">
        <f>Base_Tratada!B35</f>
        <v>MTU - Ministério do Turismo</v>
      </c>
      <c r="C35" s="9" t="str">
        <f>Base_Tratada!C35</f>
        <v>Nacional</v>
      </c>
      <c r="D35" s="9" t="str">
        <f>Base_Tratada!D35</f>
        <v>Órgão do Governo</v>
      </c>
      <c r="E35" s="9" t="str">
        <f>Base_Tratada!E35</f>
        <v>Nacional</v>
      </c>
      <c r="F35" s="15">
        <f>Base_Tratada!F35</f>
        <v>66</v>
      </c>
      <c r="G35" s="15">
        <f>Base_Tratada!G35</f>
        <v>66</v>
      </c>
      <c r="H35" s="15">
        <f>Base_Tratada!H35</f>
        <v>0</v>
      </c>
      <c r="I35" s="16">
        <f>Base_Tratada!I35</f>
        <v>45694</v>
      </c>
      <c r="J35" s="17">
        <f t="shared" si="7"/>
        <v>1</v>
      </c>
      <c r="K35" s="17">
        <f>IF(I35="","",MAX(0,Parâmetros!$B$7-I35))</f>
        <v>504</v>
      </c>
      <c r="L35" s="17">
        <f>IF(I35="","",MIN(1,POWER(0.5,K35/Parâmetros!$B$6)))</f>
        <v>0.61967730664333998</v>
      </c>
      <c r="M35" s="17">
        <f>LN(1+F35)/LN(1+Parâmetros!$B$9)</f>
        <v>0.42193587099290258</v>
      </c>
      <c r="N35" s="18">
        <f>100*(Parâmetros!$B$3*J35+Parâmetros!$B$4*L35+Parâmetros!$B$5*M35)</f>
        <v>72.237102507339472</v>
      </c>
      <c r="O35" t="str">
        <f>IF(N35&gt;=Parâmetros!$B$12,"A – Plena",IF(N35&gt;=Parâmetros!$B$13,"B – Alta",IF(N35&gt;=Parâmetros!$B$14,"C – Média",IF(N35&gt;=Parâmetros!$B$15,"D – Baixa","E – Incipiente"))))</f>
        <v>B – Alta</v>
      </c>
      <c r="P35" s="19">
        <f t="shared" si="8"/>
        <v>34</v>
      </c>
      <c r="Q35" s="18">
        <f t="shared" si="9"/>
        <v>68.053772587874747</v>
      </c>
      <c r="R35" s="19">
        <f t="shared" si="10"/>
        <v>34</v>
      </c>
      <c r="S35" s="19">
        <f t="shared" si="11"/>
        <v>0</v>
      </c>
      <c r="T35" t="str">
        <f>IF(Q35&gt;=Parâmetros!$B$12,"A – Plena",IF(Q35&gt;=Parâmetros!$B$13,"B – Alta",IF(Q35&gt;=Parâmetros!$B$14,"C – Média",IF(Q35&gt;=Parâmetros!$B$15,"D – Baixa","E – Incipiente"))))</f>
        <v>B – Alta</v>
      </c>
      <c r="U35" t="str">
        <f t="shared" si="12"/>
        <v>Não</v>
      </c>
      <c r="V35" s="20">
        <f t="shared" si="13"/>
        <v>4767.648765484405</v>
      </c>
    </row>
    <row r="36" spans="1:22" ht="28.5" customHeight="1" x14ac:dyDescent="0.25">
      <c r="A36" t="str">
        <f>Base_Tratada!A36</f>
        <v>REG-19</v>
      </c>
      <c r="B36" s="9" t="str">
        <f>Base_Tratada!B36</f>
        <v>IBAMA - Instituto Brasileiro do Meio Ambiente e dos Recursos Naturais Renováveis</v>
      </c>
      <c r="C36" s="9" t="str">
        <f>Base_Tratada!C36</f>
        <v>Nacional</v>
      </c>
      <c r="D36" s="9" t="str">
        <f>Base_Tratada!D36</f>
        <v>Autarquia</v>
      </c>
      <c r="E36" s="9" t="str">
        <f>Base_Tratada!E36</f>
        <v>Nacional</v>
      </c>
      <c r="F36" s="15">
        <f>Base_Tratada!F36</f>
        <v>187</v>
      </c>
      <c r="G36" s="15">
        <f>Base_Tratada!G36</f>
        <v>187</v>
      </c>
      <c r="H36" s="15">
        <f>Base_Tratada!H36</f>
        <v>0</v>
      </c>
      <c r="I36" s="16">
        <f>Base_Tratada!I36</f>
        <v>45477</v>
      </c>
      <c r="J36" s="17">
        <f t="shared" si="7"/>
        <v>1</v>
      </c>
      <c r="K36" s="17">
        <f>IF(I36="","",MAX(0,Parâmetros!$B$7-I36))</f>
        <v>721</v>
      </c>
      <c r="L36" s="17">
        <f>IF(I36="","",MIN(1,POWER(0.5,K36/Parâmetros!$B$6)))</f>
        <v>0.50429113423722849</v>
      </c>
      <c r="M36" s="17">
        <f>LN(1+F36)/LN(1+Parâmetros!$B$9)</f>
        <v>0.52547068251815965</v>
      </c>
      <c r="N36" s="18">
        <f>100*(Parâmetros!$B$3*J36+Parâmetros!$B$4*L36+Parâmetros!$B$5*M36)</f>
        <v>70.786956761256988</v>
      </c>
      <c r="O36" t="str">
        <f>IF(N36&gt;=Parâmetros!$B$12,"A – Plena",IF(N36&gt;=Parâmetros!$B$13,"B – Alta",IF(N36&gt;=Parâmetros!$B$14,"C – Média",IF(N36&gt;=Parâmetros!$B$15,"D – Baixa","E – Incipiente"))))</f>
        <v>B – Alta</v>
      </c>
      <c r="P36" s="19">
        <f t="shared" si="8"/>
        <v>35</v>
      </c>
      <c r="Q36" s="18">
        <f t="shared" si="9"/>
        <v>67.658727225179618</v>
      </c>
      <c r="R36" s="19">
        <f t="shared" si="10"/>
        <v>35</v>
      </c>
      <c r="S36" s="19">
        <f t="shared" si="11"/>
        <v>0</v>
      </c>
      <c r="T36" t="str">
        <f>IF(Q36&gt;=Parâmetros!$B$12,"A – Plena",IF(Q36&gt;=Parâmetros!$B$13,"B – Alta",IF(Q36&gt;=Parâmetros!$B$14,"C – Média",IF(Q36&gt;=Parâmetros!$B$15,"D – Baixa","E – Incipiente"))))</f>
        <v>B – Alta</v>
      </c>
      <c r="U36" t="str">
        <f t="shared" si="12"/>
        <v>Não</v>
      </c>
      <c r="V36" s="20">
        <f t="shared" si="13"/>
        <v>13237.160914355056</v>
      </c>
    </row>
    <row r="37" spans="1:22" ht="14.25" customHeight="1" x14ac:dyDescent="0.25">
      <c r="A37" t="str">
        <f>Base_Tratada!A37</f>
        <v>REG-41</v>
      </c>
      <c r="B37" s="9" t="str">
        <f>Base_Tratada!B37</f>
        <v>Ministério de Portos e Aeroportos</v>
      </c>
      <c r="C37" s="9" t="str">
        <f>Base_Tratada!C37</f>
        <v>Nacional</v>
      </c>
      <c r="D37" s="9" t="str">
        <f>Base_Tratada!D37</f>
        <v>Órgão do Governo</v>
      </c>
      <c r="E37" s="9" t="str">
        <f>Base_Tratada!E37</f>
        <v>Nacional</v>
      </c>
      <c r="F37" s="15">
        <f>Base_Tratada!F37</f>
        <v>4</v>
      </c>
      <c r="G37" s="15">
        <f>Base_Tratada!G37</f>
        <v>4</v>
      </c>
      <c r="H37" s="15">
        <f>Base_Tratada!H37</f>
        <v>0</v>
      </c>
      <c r="I37" s="16">
        <f>Base_Tratada!I37</f>
        <v>45909</v>
      </c>
      <c r="J37" s="17">
        <f t="shared" si="7"/>
        <v>1</v>
      </c>
      <c r="K37" s="17">
        <f>IF(I37="","",MAX(0,Parâmetros!$B$7-I37))</f>
        <v>289</v>
      </c>
      <c r="L37" s="17">
        <f>IF(I37="","",MIN(1,POWER(0.5,K37/Parâmetros!$B$6)))</f>
        <v>0.76002015815383872</v>
      </c>
      <c r="M37" s="17">
        <f>LN(1+F37)/LN(1+Parâmetros!$B$9)</f>
        <v>0.16150516788317409</v>
      </c>
      <c r="N37" s="18">
        <f>100*(Parâmetros!$B$3*J37+Parâmetros!$B$4*L37+Parâmetros!$B$5*M37)</f>
        <v>70.638334732463704</v>
      </c>
      <c r="O37" t="str">
        <f>IF(N37&gt;=Parâmetros!$B$12,"A – Plena",IF(N37&gt;=Parâmetros!$B$13,"B – Alta",IF(N37&gt;=Parâmetros!$B$14,"C – Média",IF(N37&gt;=Parâmetros!$B$15,"D – Baixa","E – Incipiente"))))</f>
        <v>B – Alta</v>
      </c>
      <c r="P37" s="19">
        <f t="shared" si="8"/>
        <v>36</v>
      </c>
      <c r="Q37" s="18">
        <f t="shared" si="9"/>
        <v>64.050844201233758</v>
      </c>
      <c r="R37" s="19">
        <f t="shared" si="10"/>
        <v>36</v>
      </c>
      <c r="S37" s="19">
        <f t="shared" si="11"/>
        <v>0</v>
      </c>
      <c r="T37" t="str">
        <f>IF(Q37&gt;=Parâmetros!$B$12,"A – Plena",IF(Q37&gt;=Parâmetros!$B$13,"B – Alta",IF(Q37&gt;=Parâmetros!$B$14,"C – Média",IF(Q37&gt;=Parâmetros!$B$15,"D – Baixa","E – Incipiente"))))</f>
        <v>B – Alta</v>
      </c>
      <c r="U37" t="str">
        <f t="shared" si="12"/>
        <v>Não</v>
      </c>
      <c r="V37" s="20">
        <f t="shared" si="13"/>
        <v>282.55333892985482</v>
      </c>
    </row>
    <row r="38" spans="1:22" ht="28.5" customHeight="1" x14ac:dyDescent="0.25">
      <c r="A38" t="str">
        <f>Base_Tratada!A38</f>
        <v>REG-37</v>
      </c>
      <c r="B38" s="9" t="str">
        <f>Base_Tratada!B38</f>
        <v>MB/DPHDM - Diretoria do Patrimônio Histórico e Documentação da Marinha</v>
      </c>
      <c r="C38" s="9" t="str">
        <f>Base_Tratada!C38</f>
        <v>Nacional</v>
      </c>
      <c r="D38" s="9" t="str">
        <f>Base_Tratada!D38</f>
        <v>Organização Militar</v>
      </c>
      <c r="E38" s="9" t="str">
        <f>Base_Tratada!E38</f>
        <v>Nacional</v>
      </c>
      <c r="F38" s="15">
        <f>Base_Tratada!F38</f>
        <v>22</v>
      </c>
      <c r="G38" s="15">
        <f>Base_Tratada!G38</f>
        <v>20</v>
      </c>
      <c r="H38" s="15">
        <f>Base_Tratada!H38</f>
        <v>2</v>
      </c>
      <c r="I38" s="16">
        <f>Base_Tratada!I38</f>
        <v>45749</v>
      </c>
      <c r="J38" s="17">
        <f t="shared" si="7"/>
        <v>0.90909090909090906</v>
      </c>
      <c r="K38" s="17">
        <f>IF(I38="","",MAX(0,Parâmetros!$B$7-I38))</f>
        <v>449</v>
      </c>
      <c r="L38" s="17">
        <f>IF(I38="","",MIN(1,POWER(0.5,K38/Parâmetros!$B$6)))</f>
        <v>0.65289889588885885</v>
      </c>
      <c r="M38" s="17">
        <f>LN(1+F38)/LN(1+Parâmetros!$B$9)</f>
        <v>0.31464309112396005</v>
      </c>
      <c r="N38" s="18">
        <f>100*(Parâmetros!$B$3*J38+Parâmetros!$B$4*L38+Parâmetros!$B$5*M38)</f>
        <v>67.081174997845423</v>
      </c>
      <c r="O38" t="str">
        <f>IF(N38&gt;=Parâmetros!$B$12,"A – Plena",IF(N38&gt;=Parâmetros!$B$13,"B – Alta",IF(N38&gt;=Parâmetros!$B$14,"C – Média",IF(N38&gt;=Parâmetros!$B$15,"D – Baixa","E – Incipiente"))))</f>
        <v>B – Alta</v>
      </c>
      <c r="P38" s="19">
        <f t="shared" si="8"/>
        <v>37</v>
      </c>
      <c r="Q38" s="18">
        <f t="shared" si="9"/>
        <v>62.554429870124267</v>
      </c>
      <c r="R38" s="19">
        <f t="shared" si="10"/>
        <v>38</v>
      </c>
      <c r="S38" s="19">
        <f t="shared" si="11"/>
        <v>1</v>
      </c>
      <c r="T38" t="str">
        <f>IF(Q38&gt;=Parâmetros!$B$12,"A – Plena",IF(Q38&gt;=Parâmetros!$B$13,"B – Alta",IF(Q38&gt;=Parâmetros!$B$14,"C – Média",IF(Q38&gt;=Parâmetros!$B$15,"D – Baixa","E – Incipiente"))))</f>
        <v>B – Alta</v>
      </c>
      <c r="U38" t="str">
        <f t="shared" si="12"/>
        <v>Não</v>
      </c>
      <c r="V38" s="20">
        <f t="shared" si="13"/>
        <v>1475.7858499525994</v>
      </c>
    </row>
    <row r="39" spans="1:22" ht="28.5" customHeight="1" x14ac:dyDescent="0.25">
      <c r="A39" t="str">
        <f>Base_Tratada!A39</f>
        <v>REG-61</v>
      </c>
      <c r="B39" s="9" t="str">
        <f>Base_Tratada!B39</f>
        <v>SEMA-DF - Secretaria de Estado do Meio Ambiente do Distrito Federal</v>
      </c>
      <c r="C39" s="9" t="str">
        <f>Base_Tratada!C39</f>
        <v>Unidade Federativa</v>
      </c>
      <c r="D39" s="9" t="str">
        <f>Base_Tratada!D39</f>
        <v>Órgão do Governo</v>
      </c>
      <c r="E39" s="9" t="str">
        <f>Base_Tratada!E39</f>
        <v>Centro Oeste</v>
      </c>
      <c r="F39" s="15">
        <f>Base_Tratada!F39</f>
        <v>325</v>
      </c>
      <c r="G39" s="15">
        <f>Base_Tratada!G39</f>
        <v>325</v>
      </c>
      <c r="H39" s="15">
        <f>Base_Tratada!H39</f>
        <v>0</v>
      </c>
      <c r="I39" s="16">
        <f>Base_Tratada!I39</f>
        <v>44939</v>
      </c>
      <c r="J39" s="17">
        <f t="shared" si="7"/>
        <v>1</v>
      </c>
      <c r="K39" s="17">
        <f>IF(I39="","",MAX(0,Parâmetros!$B$7-I39))</f>
        <v>1259</v>
      </c>
      <c r="L39" s="17">
        <f>IF(I39="","",MIN(1,POWER(0.5,K39/Parâmetros!$B$6)))</f>
        <v>0.30257033767680458</v>
      </c>
      <c r="M39" s="17">
        <f>LN(1+F39)/LN(1+Parâmetros!$B$9)</f>
        <v>0.58070822482790196</v>
      </c>
      <c r="N39" s="18">
        <f>100*(Parâmetros!$B$3*J39+Parâmetros!$B$4*L39+Parâmetros!$B$5*M39)</f>
        <v>65.107667439385708</v>
      </c>
      <c r="O39" t="str">
        <f>IF(N39&gt;=Parâmetros!$B$12,"A – Plena",IF(N39&gt;=Parâmetros!$B$13,"B – Alta",IF(N39&gt;=Parâmetros!$B$14,"C – Média",IF(N39&gt;=Parâmetros!$B$15,"D – Baixa","E – Incipiente"))))</f>
        <v>B – Alta</v>
      </c>
      <c r="P39" s="19">
        <f t="shared" si="8"/>
        <v>38</v>
      </c>
      <c r="Q39" s="18">
        <f t="shared" si="9"/>
        <v>62.775952083490218</v>
      </c>
      <c r="R39" s="19">
        <f t="shared" si="10"/>
        <v>37</v>
      </c>
      <c r="S39" s="19">
        <f t="shared" si="11"/>
        <v>-1</v>
      </c>
      <c r="T39" t="str">
        <f>IF(Q39&gt;=Parâmetros!$B$12,"A – Plena",IF(Q39&gt;=Parâmetros!$B$13,"B – Alta",IF(Q39&gt;=Parâmetros!$B$14,"C – Média",IF(Q39&gt;=Parâmetros!$B$15,"D – Baixa","E – Incipiente"))))</f>
        <v>B – Alta</v>
      </c>
      <c r="U39" t="str">
        <f t="shared" si="12"/>
        <v>Não</v>
      </c>
      <c r="V39" s="20">
        <f t="shared" si="13"/>
        <v>21159.991917800355</v>
      </c>
    </row>
    <row r="40" spans="1:22" ht="14.25" customHeight="1" x14ac:dyDescent="0.25">
      <c r="A40" t="str">
        <f>Base_Tratada!A40</f>
        <v>REG-15</v>
      </c>
      <c r="B40" s="9" t="str">
        <f>Base_Tratada!B40</f>
        <v>EPE - Empresa de Pesquisa Energética</v>
      </c>
      <c r="C40" s="9" t="str">
        <f>Base_Tratada!C40</f>
        <v>Nacional</v>
      </c>
      <c r="D40" s="9" t="str">
        <f>Base_Tratada!D40</f>
        <v>Empresa Pública</v>
      </c>
      <c r="E40" s="9" t="str">
        <f>Base_Tratada!E40</f>
        <v>Nacional</v>
      </c>
      <c r="F40" s="15">
        <f>Base_Tratada!F40</f>
        <v>5</v>
      </c>
      <c r="G40" s="15">
        <f>Base_Tratada!G40</f>
        <v>5</v>
      </c>
      <c r="H40" s="15">
        <f>Base_Tratada!H40</f>
        <v>0</v>
      </c>
      <c r="I40" s="16">
        <f>Base_Tratada!I40</f>
        <v>45595</v>
      </c>
      <c r="J40" s="17">
        <f t="shared" si="7"/>
        <v>1</v>
      </c>
      <c r="K40" s="17">
        <f>IF(I40="","",MAX(0,Parâmetros!$B$7-I40))</f>
        <v>603</v>
      </c>
      <c r="L40" s="17">
        <f>IF(I40="","",MIN(1,POWER(0.5,K40/Parâmetros!$B$6)))</f>
        <v>0.5640803565523298</v>
      </c>
      <c r="M40" s="17">
        <f>LN(1+F40)/LN(1+Parâmetros!$B$9)</f>
        <v>0.17980091785354457</v>
      </c>
      <c r="N40" s="18">
        <f>100*(Parâmetros!$B$3*J40+Parâmetros!$B$4*L40+Parâmetros!$B$5*M40)</f>
        <v>64.237835425670156</v>
      </c>
      <c r="O40" t="str">
        <f>IF(N40&gt;=Parâmetros!$B$12,"A – Plena",IF(N40&gt;=Parâmetros!$B$13,"B – Alta",IF(N40&gt;=Parâmetros!$B$14,"C – Média",IF(N40&gt;=Parâmetros!$B$15,"D – Baixa","E – Incipiente"))))</f>
        <v>B – Alta</v>
      </c>
      <c r="P40" s="19">
        <f t="shared" si="8"/>
        <v>39</v>
      </c>
      <c r="Q40" s="18">
        <f t="shared" si="9"/>
        <v>58.129375813529151</v>
      </c>
      <c r="R40" s="19">
        <f t="shared" si="10"/>
        <v>39</v>
      </c>
      <c r="S40" s="19">
        <f t="shared" si="11"/>
        <v>0</v>
      </c>
      <c r="T40" t="str">
        <f>IF(Q40&gt;=Parâmetros!$B$12,"A – Plena",IF(Q40&gt;=Parâmetros!$B$13,"B – Alta",IF(Q40&gt;=Parâmetros!$B$14,"C – Média",IF(Q40&gt;=Parâmetros!$B$15,"D – Baixa","E – Incipiente"))))</f>
        <v>C – Média</v>
      </c>
      <c r="U40" t="str">
        <f t="shared" si="12"/>
        <v>Sim</v>
      </c>
      <c r="V40" s="20">
        <f t="shared" si="13"/>
        <v>321.18917712835076</v>
      </c>
    </row>
    <row r="41" spans="1:22" ht="14.25" customHeight="1" x14ac:dyDescent="0.25">
      <c r="A41" t="str">
        <f>Base_Tratada!A41</f>
        <v>REG-71</v>
      </c>
      <c r="B41" s="9" t="str">
        <f>Base_Tratada!B41</f>
        <v>VALEC - Engenharia, Construções e Ferrovias S.A.</v>
      </c>
      <c r="C41" s="9" t="str">
        <f>Base_Tratada!C41</f>
        <v>Nacional</v>
      </c>
      <c r="D41" s="9" t="str">
        <f>Base_Tratada!D41</f>
        <v>Empresa Pública</v>
      </c>
      <c r="E41" s="9" t="str">
        <f>Base_Tratada!E41</f>
        <v>Nacional</v>
      </c>
      <c r="F41" s="15">
        <f>Base_Tratada!F41</f>
        <v>3</v>
      </c>
      <c r="G41" s="15">
        <f>Base_Tratada!G41</f>
        <v>3</v>
      </c>
      <c r="H41" s="15">
        <f>Base_Tratada!H41</f>
        <v>0</v>
      </c>
      <c r="I41" s="16">
        <f>Base_Tratada!I41</f>
        <v>45546</v>
      </c>
      <c r="J41" s="17">
        <f t="shared" si="7"/>
        <v>1</v>
      </c>
      <c r="K41" s="17">
        <f>IF(I41="","",MAX(0,Parâmetros!$B$7-I41))</f>
        <v>652</v>
      </c>
      <c r="L41" s="17">
        <f>IF(I41="","",MIN(1,POWER(0.5,K41/Parâmetros!$B$6)))</f>
        <v>0.53843694712427559</v>
      </c>
      <c r="M41" s="17">
        <f>LN(1+F41)/LN(1+Parâmetros!$B$9)</f>
        <v>0.13911297962998184</v>
      </c>
      <c r="N41" s="18">
        <f>100*(Parâmetros!$B$3*J41+Parâmetros!$B$4*L41+Parâmetros!$B$5*M41)</f>
        <v>62.323117640099198</v>
      </c>
      <c r="O41" t="str">
        <f>IF(N41&gt;=Parâmetros!$B$12,"A – Plena",IF(N41&gt;=Parâmetros!$B$13,"B – Alta",IF(N41&gt;=Parâmetros!$B$14,"C – Média",IF(N41&gt;=Parâmetros!$B$15,"D – Baixa","E – Incipiente"))))</f>
        <v>B – Alta</v>
      </c>
      <c r="P41" s="19">
        <f t="shared" si="8"/>
        <v>40</v>
      </c>
      <c r="Q41" s="18">
        <f t="shared" si="9"/>
        <v>55.91833089180858</v>
      </c>
      <c r="R41" s="19">
        <f t="shared" si="10"/>
        <v>42</v>
      </c>
      <c r="S41" s="19">
        <f t="shared" si="11"/>
        <v>2</v>
      </c>
      <c r="T41" t="str">
        <f>IF(Q41&gt;=Parâmetros!$B$12,"A – Plena",IF(Q41&gt;=Parâmetros!$B$13,"B – Alta",IF(Q41&gt;=Parâmetros!$B$14,"C – Média",IF(Q41&gt;=Parâmetros!$B$15,"D – Baixa","E – Incipiente"))))</f>
        <v>C – Média</v>
      </c>
      <c r="U41" t="str">
        <f t="shared" si="12"/>
        <v>Sim</v>
      </c>
      <c r="V41" s="20">
        <f t="shared" si="13"/>
        <v>186.96935292029758</v>
      </c>
    </row>
    <row r="42" spans="1:22" ht="14.25" customHeight="1" x14ac:dyDescent="0.25">
      <c r="A42" t="str">
        <f>Base_Tratada!A42</f>
        <v>REG-32</v>
      </c>
      <c r="B42" s="9" t="str">
        <f>Base_Tratada!B42</f>
        <v>INSA - Instituto Nacional do Semiárido</v>
      </c>
      <c r="C42" s="9" t="str">
        <f>Base_Tratada!C42</f>
        <v>Nacional</v>
      </c>
      <c r="D42" s="9" t="str">
        <f>Base_Tratada!D42</f>
        <v>Órgão do Governo</v>
      </c>
      <c r="E42" s="9" t="str">
        <f>Base_Tratada!E42</f>
        <v>Nordeste</v>
      </c>
      <c r="F42" s="15">
        <f>Base_Tratada!F42</f>
        <v>19</v>
      </c>
      <c r="G42" s="15">
        <f>Base_Tratada!G42</f>
        <v>19</v>
      </c>
      <c r="H42" s="15">
        <f>Base_Tratada!H42</f>
        <v>0</v>
      </c>
      <c r="I42" s="16">
        <f>Base_Tratada!I42</f>
        <v>45205</v>
      </c>
      <c r="J42" s="17">
        <f t="shared" si="7"/>
        <v>1</v>
      </c>
      <c r="K42" s="17">
        <f>IF(I42="","",MAX(0,Parâmetros!$B$7-I42))</f>
        <v>993</v>
      </c>
      <c r="L42" s="17">
        <f>IF(I42="","",MIN(1,POWER(0.5,K42/Parâmetros!$B$6)))</f>
        <v>0.38950831387768309</v>
      </c>
      <c r="M42" s="17">
        <f>LN(1+F42)/LN(1+Parâmetros!$B$9)</f>
        <v>0.30061814751315596</v>
      </c>
      <c r="N42" s="18">
        <f>100*(Parâmetros!$B$3*J42+Parâmetros!$B$4*L42+Parâmetros!$B$5*M42)</f>
        <v>61.148244673547815</v>
      </c>
      <c r="O42" t="str">
        <f>IF(N42&gt;=Parâmetros!$B$12,"A – Plena",IF(N42&gt;=Parâmetros!$B$13,"B – Alta",IF(N42&gt;=Parâmetros!$B$14,"C – Média",IF(N42&gt;=Parâmetros!$B$15,"D – Baixa","E – Incipiente"))))</f>
        <v>B – Alta</v>
      </c>
      <c r="P42" s="19">
        <f t="shared" si="8"/>
        <v>41</v>
      </c>
      <c r="Q42" s="18">
        <f t="shared" si="9"/>
        <v>56.337548713027964</v>
      </c>
      <c r="R42" s="19">
        <f t="shared" si="10"/>
        <v>41</v>
      </c>
      <c r="S42" s="19">
        <f t="shared" si="11"/>
        <v>0</v>
      </c>
      <c r="T42" t="str">
        <f>IF(Q42&gt;=Parâmetros!$B$12,"A – Plena",IF(Q42&gt;=Parâmetros!$B$13,"B – Alta",IF(Q42&gt;=Parâmetros!$B$14,"C – Média",IF(Q42&gt;=Parâmetros!$B$15,"D – Baixa","E – Incipiente"))))</f>
        <v>C – Média</v>
      </c>
      <c r="U42" t="str">
        <f t="shared" si="12"/>
        <v>Sim</v>
      </c>
      <c r="V42" s="20">
        <f t="shared" si="13"/>
        <v>1161.8166487974086</v>
      </c>
    </row>
    <row r="43" spans="1:22" ht="14.25" customHeight="1" x14ac:dyDescent="0.25">
      <c r="A43" t="str">
        <f>Base_Tratada!A43</f>
        <v>REG-47</v>
      </c>
      <c r="B43" s="9" t="str">
        <f>Base_Tratada!B43</f>
        <v>MTR - Ministério dos Transportes</v>
      </c>
      <c r="C43" s="9" t="str">
        <f>Base_Tratada!C43</f>
        <v>Nacional</v>
      </c>
      <c r="D43" s="9" t="str">
        <f>Base_Tratada!D43</f>
        <v>Órgão do Governo</v>
      </c>
      <c r="E43" s="9" t="str">
        <f>Base_Tratada!E43</f>
        <v>Nacional</v>
      </c>
      <c r="F43" s="15">
        <f>Base_Tratada!F43</f>
        <v>10</v>
      </c>
      <c r="G43" s="15">
        <f>Base_Tratada!G43</f>
        <v>10</v>
      </c>
      <c r="H43" s="15">
        <f>Base_Tratada!H43</f>
        <v>0</v>
      </c>
      <c r="I43" s="16">
        <f>Base_Tratada!I43</f>
        <v>45115</v>
      </c>
      <c r="J43" s="17">
        <f t="shared" si="7"/>
        <v>1</v>
      </c>
      <c r="K43" s="17">
        <f>IF(I43="","",MAX(0,Parâmetros!$B$7-I43))</f>
        <v>1083</v>
      </c>
      <c r="L43" s="17">
        <f>IF(I43="","",MIN(1,POWER(0.5,K43/Parâmetros!$B$6)))</f>
        <v>0.35760488666286466</v>
      </c>
      <c r="M43" s="17">
        <f>LN(1+F43)/LN(1+Parâmetros!$B$9)</f>
        <v>0.24062592014740275</v>
      </c>
      <c r="N43" s="18">
        <f>100*(Parâmetros!$B$3*J43+Parâmetros!$B$4*L43+Parâmetros!$B$5*M43)</f>
        <v>58.531819036885338</v>
      </c>
      <c r="O43" t="str">
        <f>IF(N43&gt;=Parâmetros!$B$12,"A – Plena",IF(N43&gt;=Parâmetros!$B$13,"B – Alta",IF(N43&gt;=Parâmetros!$B$14,"C – Média",IF(N43&gt;=Parâmetros!$B$15,"D – Baixa","E – Incipiente"))))</f>
        <v>C – Média</v>
      </c>
      <c r="P43" s="19">
        <f t="shared" si="8"/>
        <v>42</v>
      </c>
      <c r="Q43" s="18">
        <f t="shared" si="9"/>
        <v>53.274360227008913</v>
      </c>
      <c r="R43" s="19">
        <f t="shared" si="10"/>
        <v>43</v>
      </c>
      <c r="S43" s="19">
        <f t="shared" si="11"/>
        <v>1</v>
      </c>
      <c r="T43" t="str">
        <f>IF(Q43&gt;=Parâmetros!$B$12,"A – Plena",IF(Q43&gt;=Parâmetros!$B$13,"B – Alta",IF(Q43&gt;=Parâmetros!$B$14,"C – Média",IF(Q43&gt;=Parâmetros!$B$15,"D – Baixa","E – Incipiente"))))</f>
        <v>C – Média</v>
      </c>
      <c r="U43" t="str">
        <f t="shared" si="12"/>
        <v>Não</v>
      </c>
      <c r="V43" s="20">
        <f t="shared" si="13"/>
        <v>585.31819036885338</v>
      </c>
    </row>
    <row r="44" spans="1:22" ht="14.25" customHeight="1" x14ac:dyDescent="0.25">
      <c r="A44" t="str">
        <f>Base_Tratada!A44</f>
        <v>REG-29</v>
      </c>
      <c r="B44" s="9" t="str">
        <f>Base_Tratada!B44</f>
        <v>IFPI - Instituto Federal  do Piauí / Campus Teresina</v>
      </c>
      <c r="C44" s="9" t="str">
        <f>Base_Tratada!C44</f>
        <v>Nacional</v>
      </c>
      <c r="D44" s="9" t="str">
        <f>Base_Tratada!D44</f>
        <v>Academia</v>
      </c>
      <c r="E44" s="9" t="str">
        <f>Base_Tratada!E44</f>
        <v>Nordeste</v>
      </c>
      <c r="F44" s="15">
        <f>Base_Tratada!F44</f>
        <v>6</v>
      </c>
      <c r="G44" s="15">
        <f>Base_Tratada!G44</f>
        <v>5</v>
      </c>
      <c r="H44" s="15">
        <f>Base_Tratada!H44</f>
        <v>1</v>
      </c>
      <c r="I44" s="16">
        <f>Base_Tratada!I44</f>
        <v>45552</v>
      </c>
      <c r="J44" s="17">
        <f t="shared" si="7"/>
        <v>0.83333333333333337</v>
      </c>
      <c r="K44" s="17">
        <f>IF(I44="","",MAX(0,Parâmetros!$B$7-I44))</f>
        <v>646</v>
      </c>
      <c r="L44" s="17">
        <f>IF(I44="","",MIN(1,POWER(0.5,K44/Parâmetros!$B$6)))</f>
        <v>0.54151323094511428</v>
      </c>
      <c r="M44" s="17">
        <f>LN(1+F44)/LN(1+Parâmetros!$B$9)</f>
        <v>0.19526975404316438</v>
      </c>
      <c r="N44" s="18">
        <f>100*(Parâmetros!$B$3*J44+Parâmetros!$B$4*L44+Parâmetros!$B$5*M44)</f>
        <v>57.168040267491449</v>
      </c>
      <c r="O44" t="str">
        <f>IF(N44&gt;=Parâmetros!$B$12,"A – Plena",IF(N44&gt;=Parâmetros!$B$13,"B – Alta",IF(N44&gt;=Parâmetros!$B$14,"C – Média",IF(N44&gt;=Parâmetros!$B$15,"D – Baixa","E – Incipiente"))))</f>
        <v>C – Média</v>
      </c>
      <c r="P44" s="19">
        <f t="shared" si="8"/>
        <v>43</v>
      </c>
      <c r="Q44" s="18">
        <f t="shared" si="9"/>
        <v>52.337210610720405</v>
      </c>
      <c r="R44" s="19">
        <f t="shared" si="10"/>
        <v>44</v>
      </c>
      <c r="S44" s="19">
        <f t="shared" si="11"/>
        <v>1</v>
      </c>
      <c r="T44" t="str">
        <f>IF(Q44&gt;=Parâmetros!$B$12,"A – Plena",IF(Q44&gt;=Parâmetros!$B$13,"B – Alta",IF(Q44&gt;=Parâmetros!$B$14,"C – Média",IF(Q44&gt;=Parâmetros!$B$15,"D – Baixa","E – Incipiente"))))</f>
        <v>C – Média</v>
      </c>
      <c r="U44" t="str">
        <f t="shared" si="12"/>
        <v>Não</v>
      </c>
      <c r="V44" s="20">
        <f t="shared" si="13"/>
        <v>343.00824160494869</v>
      </c>
    </row>
    <row r="45" spans="1:22" ht="14.25" customHeight="1" x14ac:dyDescent="0.25">
      <c r="A45" t="str">
        <f>Base_Tratada!A45</f>
        <v>REG-49</v>
      </c>
      <c r="B45" s="9" t="str">
        <f>Base_Tratada!B45</f>
        <v>PGGM - Programa de Geologia e Geofísica Marinha</v>
      </c>
      <c r="C45" s="9" t="str">
        <f>Base_Tratada!C45</f>
        <v>Nacional</v>
      </c>
      <c r="D45" s="9" t="str">
        <f>Base_Tratada!D45</f>
        <v>Academia</v>
      </c>
      <c r="E45" s="9" t="str">
        <f>Base_Tratada!E45</f>
        <v>Nacional</v>
      </c>
      <c r="F45" s="15">
        <f>Base_Tratada!F45</f>
        <v>6</v>
      </c>
      <c r="G45" s="15">
        <f>Base_Tratada!G45</f>
        <v>6</v>
      </c>
      <c r="H45" s="15">
        <f>Base_Tratada!H45</f>
        <v>0</v>
      </c>
      <c r="I45" s="16">
        <f>Base_Tratada!I45</f>
        <v>44974</v>
      </c>
      <c r="J45" s="17">
        <f t="shared" si="7"/>
        <v>1</v>
      </c>
      <c r="K45" s="17">
        <f>IF(I45="","",MAX(0,Parâmetros!$B$7-I45))</f>
        <v>1224</v>
      </c>
      <c r="L45" s="17">
        <f>IF(I45="","",MIN(1,POWER(0.5,K45/Parâmetros!$B$6)))</f>
        <v>0.31279463459260548</v>
      </c>
      <c r="M45" s="17">
        <f>LN(1+F45)/LN(1+Parâmetros!$B$9)</f>
        <v>0.19526975404316438</v>
      </c>
      <c r="N45" s="18">
        <f>100*(Parâmetros!$B$3*J45+Parâmetros!$B$4*L45+Parâmetros!$B$5*M45)</f>
        <v>55.829556061820306</v>
      </c>
      <c r="O45" t="str">
        <f>IF(N45&gt;=Parâmetros!$B$12,"A – Plena",IF(N45&gt;=Parâmetros!$B$13,"B – Alta",IF(N45&gt;=Parâmetros!$B$14,"C – Média",IF(N45&gt;=Parâmetros!$B$15,"D – Baixa","E – Incipiente"))))</f>
        <v>C – Média</v>
      </c>
      <c r="P45" s="19">
        <f t="shared" si="8"/>
        <v>44</v>
      </c>
      <c r="Q45" s="18">
        <f t="shared" si="9"/>
        <v>50.268812954525664</v>
      </c>
      <c r="R45" s="19">
        <f t="shared" si="10"/>
        <v>45</v>
      </c>
      <c r="S45" s="19">
        <f t="shared" si="11"/>
        <v>1</v>
      </c>
      <c r="T45" t="str">
        <f>IF(Q45&gt;=Parâmetros!$B$12,"A – Plena",IF(Q45&gt;=Parâmetros!$B$13,"B – Alta",IF(Q45&gt;=Parâmetros!$B$14,"C – Média",IF(Q45&gt;=Parâmetros!$B$15,"D – Baixa","E – Incipiente"))))</f>
        <v>C – Média</v>
      </c>
      <c r="U45" t="str">
        <f t="shared" si="12"/>
        <v>Não</v>
      </c>
      <c r="V45" s="20">
        <f t="shared" si="13"/>
        <v>334.97733637092182</v>
      </c>
    </row>
    <row r="46" spans="1:22" ht="14.25" customHeight="1" x14ac:dyDescent="0.25">
      <c r="A46" t="str">
        <f>Base_Tratada!A46</f>
        <v>REG-04</v>
      </c>
      <c r="B46" s="9" t="str">
        <f>Base_Tratada!B46</f>
        <v>ANM - Agência Nacional de Mineração</v>
      </c>
      <c r="C46" s="9" t="str">
        <f>Base_Tratada!C46</f>
        <v>Nacional</v>
      </c>
      <c r="D46" s="9" t="str">
        <f>Base_Tratada!D46</f>
        <v>Autarquia</v>
      </c>
      <c r="E46" s="9" t="str">
        <f>Base_Tratada!E46</f>
        <v>Nacional</v>
      </c>
      <c r="F46" s="15">
        <f>Base_Tratada!F46</f>
        <v>5</v>
      </c>
      <c r="G46" s="15">
        <f>Base_Tratada!G46</f>
        <v>5</v>
      </c>
      <c r="H46" s="15">
        <f>Base_Tratada!H46</f>
        <v>0</v>
      </c>
      <c r="I46" s="16">
        <f>Base_Tratada!I46</f>
        <v>44909</v>
      </c>
      <c r="J46" s="17">
        <f t="shared" si="7"/>
        <v>1</v>
      </c>
      <c r="K46" s="17">
        <f>IF(I46="","",MAX(0,Parâmetros!$B$7-I46))</f>
        <v>1289</v>
      </c>
      <c r="L46" s="17">
        <f>IF(I46="","",MIN(1,POWER(0.5,K46/Parâmetros!$B$6)))</f>
        <v>0.294073069189346</v>
      </c>
      <c r="M46" s="17">
        <f>LN(1+F46)/LN(1+Parâmetros!$B$9)</f>
        <v>0.17980091785354457</v>
      </c>
      <c r="N46" s="18">
        <f>100*(Parâmetros!$B$3*J46+Parâmetros!$B$4*L46+Parâmetros!$B$5*M46)</f>
        <v>54.787580367965724</v>
      </c>
      <c r="O46" t="str">
        <f>IF(N46&gt;=Parâmetros!$B$12,"A – Plena",IF(N46&gt;=Parâmetros!$B$13,"B – Alta",IF(N46&gt;=Parâmetros!$B$14,"C – Média",IF(N46&gt;=Parâmetros!$B$15,"D – Baixa","E – Incipiente"))))</f>
        <v>C – Média</v>
      </c>
      <c r="P46" s="19">
        <f t="shared" si="8"/>
        <v>45</v>
      </c>
      <c r="Q46" s="18">
        <f t="shared" si="9"/>
        <v>49.129132901429692</v>
      </c>
      <c r="R46" s="19">
        <f t="shared" si="10"/>
        <v>46</v>
      </c>
      <c r="S46" s="19">
        <f t="shared" si="11"/>
        <v>1</v>
      </c>
      <c r="T46" t="str">
        <f>IF(Q46&gt;=Parâmetros!$B$12,"A – Plena",IF(Q46&gt;=Parâmetros!$B$13,"B – Alta",IF(Q46&gt;=Parâmetros!$B$14,"C – Média",IF(Q46&gt;=Parâmetros!$B$15,"D – Baixa","E – Incipiente"))))</f>
        <v>C – Média</v>
      </c>
      <c r="U46" t="str">
        <f t="shared" si="12"/>
        <v>Não</v>
      </c>
      <c r="V46" s="20">
        <f t="shared" si="13"/>
        <v>273.93790183982861</v>
      </c>
    </row>
    <row r="47" spans="1:22" ht="28.5" customHeight="1" x14ac:dyDescent="0.25">
      <c r="A47" t="str">
        <f>Base_Tratada!A47</f>
        <v>REG-34</v>
      </c>
      <c r="B47" s="9" t="str">
        <f>Base_Tratada!B47</f>
        <v>MB/COMPAAz - Comando de Operações Marítimas e Proteção da Amazônia Azul</v>
      </c>
      <c r="C47" s="9" t="str">
        <f>Base_Tratada!C47</f>
        <v>Nacional</v>
      </c>
      <c r="D47" s="9" t="str">
        <f>Base_Tratada!D47</f>
        <v>Organização Militar</v>
      </c>
      <c r="E47" s="9" t="str">
        <f>Base_Tratada!E47</f>
        <v>Nacional</v>
      </c>
      <c r="F47" s="15">
        <f>Base_Tratada!F47</f>
        <v>1</v>
      </c>
      <c r="G47" s="15">
        <f>Base_Tratada!G47</f>
        <v>1</v>
      </c>
      <c r="H47" s="15">
        <f>Base_Tratada!H47</f>
        <v>0</v>
      </c>
      <c r="I47" s="16">
        <f>Base_Tratada!I47</f>
        <v>45072</v>
      </c>
      <c r="J47" s="17">
        <f t="shared" si="7"/>
        <v>1</v>
      </c>
      <c r="K47" s="17">
        <f>IF(I47="","",MAX(0,Parâmetros!$B$7-I47))</f>
        <v>1126</v>
      </c>
      <c r="L47" s="17">
        <f>IF(I47="","",MIN(1,POWER(0.5,K47/Parâmetros!$B$6)))</f>
        <v>0.34329821155650281</v>
      </c>
      <c r="M47" s="17">
        <f>LN(1+F47)/LN(1+Parâmetros!$B$9)</f>
        <v>6.9556489814990921E-2</v>
      </c>
      <c r="N47" s="18">
        <f>100*(Parâmetros!$B$3*J47+Parâmetros!$B$4*L47+Parâmetros!$B$5*M47)</f>
        <v>53.754349649852372</v>
      </c>
      <c r="O47" t="str">
        <f>IF(N47&gt;=Parâmetros!$B$12,"A – Plena",IF(N47&gt;=Parâmetros!$B$13,"B – Alta",IF(N47&gt;=Parâmetros!$B$14,"C – Média",IF(N47&gt;=Parâmetros!$B$15,"D – Baixa","E – Incipiente"))))</f>
        <v>C – Média</v>
      </c>
      <c r="P47" s="19">
        <f t="shared" si="8"/>
        <v>46</v>
      </c>
      <c r="Q47" s="18">
        <f t="shared" si="9"/>
        <v>47.09515671238313</v>
      </c>
      <c r="R47" s="19">
        <f t="shared" si="10"/>
        <v>49</v>
      </c>
      <c r="S47" s="19">
        <f t="shared" si="11"/>
        <v>3</v>
      </c>
      <c r="T47" t="str">
        <f>IF(Q47&gt;=Parâmetros!$B$12,"A – Plena",IF(Q47&gt;=Parâmetros!$B$13,"B – Alta",IF(Q47&gt;=Parâmetros!$B$14,"C – Média",IF(Q47&gt;=Parâmetros!$B$15,"D – Baixa","E – Incipiente"))))</f>
        <v>C – Média</v>
      </c>
      <c r="U47" t="str">
        <f t="shared" si="12"/>
        <v>Não</v>
      </c>
      <c r="V47" s="20">
        <f t="shared" si="13"/>
        <v>53.754349649852372</v>
      </c>
    </row>
    <row r="48" spans="1:22" ht="14.25" customHeight="1" x14ac:dyDescent="0.25">
      <c r="A48" t="str">
        <f>Base_Tratada!A48</f>
        <v>REG-21</v>
      </c>
      <c r="B48" s="9" t="str">
        <f>Base_Tratada!B48</f>
        <v>ICA - Instituto de Cartografia da Aeronáutica</v>
      </c>
      <c r="C48" s="9" t="str">
        <f>Base_Tratada!C48</f>
        <v>Nacional</v>
      </c>
      <c r="D48" s="9" t="str">
        <f>Base_Tratada!D48</f>
        <v>Organização Militar</v>
      </c>
      <c r="E48" s="9" t="str">
        <f>Base_Tratada!E48</f>
        <v>Nacional</v>
      </c>
      <c r="F48" s="15">
        <f>Base_Tratada!F48</f>
        <v>4707</v>
      </c>
      <c r="G48" s="15">
        <f>Base_Tratada!G48</f>
        <v>2307</v>
      </c>
      <c r="H48" s="15">
        <f>Base_Tratada!H48</f>
        <v>2400</v>
      </c>
      <c r="I48" s="16">
        <f>Base_Tratada!I48</f>
        <v>45115</v>
      </c>
      <c r="J48" s="17">
        <f t="shared" si="7"/>
        <v>0.49012109623964306</v>
      </c>
      <c r="K48" s="17">
        <f>IF(I48="","",MAX(0,Parâmetros!$B$7-I48))</f>
        <v>1083</v>
      </c>
      <c r="L48" s="17">
        <f>IF(I48="","",MIN(1,POWER(0.5,K48/Parâmetros!$B$6)))</f>
        <v>0.35760488666286466</v>
      </c>
      <c r="M48" s="17">
        <f>LN(1+F48)/LN(1+Parâmetros!$B$9)</f>
        <v>0.84865167955509369</v>
      </c>
      <c r="N48" s="18">
        <f>100*(Parâmetros!$B$3*J48+Parâmetros!$B$4*L48+Parâmetros!$B$5*M48)</f>
        <v>53.337306871663323</v>
      </c>
      <c r="O48" t="str">
        <f>IF(N48&gt;=Parâmetros!$B$12,"A – Plena",IF(N48&gt;=Parâmetros!$B$13,"B – Alta",IF(N48&gt;=Parâmetros!$B$14,"C – Média",IF(N48&gt;=Parâmetros!$B$15,"D – Baixa","E – Incipiente"))))</f>
        <v>C – Média</v>
      </c>
      <c r="P48" s="19">
        <f t="shared" si="8"/>
        <v>47</v>
      </c>
      <c r="Q48" s="18">
        <f t="shared" si="9"/>
        <v>56.545922081920047</v>
      </c>
      <c r="R48" s="19">
        <f t="shared" si="10"/>
        <v>40</v>
      </c>
      <c r="S48" s="19">
        <f t="shared" si="11"/>
        <v>-7</v>
      </c>
      <c r="T48" t="str">
        <f>IF(Q48&gt;=Parâmetros!$B$12,"A – Plena",IF(Q48&gt;=Parâmetros!$B$13,"B – Alta",IF(Q48&gt;=Parâmetros!$B$14,"C – Média",IF(Q48&gt;=Parâmetros!$B$15,"D – Baixa","E – Incipiente"))))</f>
        <v>C – Média</v>
      </c>
      <c r="U48" t="str">
        <f t="shared" si="12"/>
        <v>Não</v>
      </c>
      <c r="V48" s="20">
        <f t="shared" si="13"/>
        <v>251058.70344491926</v>
      </c>
    </row>
    <row r="49" spans="1:22" ht="14.25" customHeight="1" x14ac:dyDescent="0.25">
      <c r="A49" t="str">
        <f>Base_Tratada!A49</f>
        <v>REG-51</v>
      </c>
      <c r="B49" s="9" t="str">
        <f>Base_Tratada!B49</f>
        <v>Prefeitura de Cabo Frio (RJ)</v>
      </c>
      <c r="C49" s="9" t="str">
        <f>Base_Tratada!C49</f>
        <v>Municipal</v>
      </c>
      <c r="D49" s="9" t="str">
        <f>Base_Tratada!D49</f>
        <v>Prefeitura</v>
      </c>
      <c r="E49" s="9" t="str">
        <f>Base_Tratada!E49</f>
        <v>Sudeste</v>
      </c>
      <c r="F49" s="15">
        <f>Base_Tratada!F49</f>
        <v>1</v>
      </c>
      <c r="G49" s="15">
        <f>Base_Tratada!G49</f>
        <v>1</v>
      </c>
      <c r="H49" s="15">
        <f>Base_Tratada!H49</f>
        <v>0</v>
      </c>
      <c r="I49" s="16">
        <f>Base_Tratada!I49</f>
        <v>44972</v>
      </c>
      <c r="J49" s="17">
        <f t="shared" si="7"/>
        <v>1</v>
      </c>
      <c r="K49" s="17">
        <f>IF(I49="","",MAX(0,Parâmetros!$B$7-I49))</f>
        <v>1226</v>
      </c>
      <c r="L49" s="17">
        <f>IF(I49="","",MIN(1,POWER(0.5,K49/Parâmetros!$B$6)))</f>
        <v>0.31220119080624342</v>
      </c>
      <c r="M49" s="17">
        <f>LN(1+F49)/LN(1+Parâmetros!$B$9)</f>
        <v>6.9556489814990921E-2</v>
      </c>
      <c r="N49" s="18">
        <f>100*(Parâmetros!$B$3*J49+Parâmetros!$B$4*L49+Parâmetros!$B$5*M49)</f>
        <v>52.665953923593293</v>
      </c>
      <c r="O49" t="str">
        <f>IF(N49&gt;=Parâmetros!$B$12,"A – Plena",IF(N49&gt;=Parâmetros!$B$13,"B – Alta",IF(N49&gt;=Parâmetros!$B$14,"C – Média",IF(N49&gt;=Parâmetros!$B$15,"D – Baixa","E – Incipiente"))))</f>
        <v>C – Média</v>
      </c>
      <c r="P49" s="19">
        <f t="shared" si="8"/>
        <v>48</v>
      </c>
      <c r="Q49" s="18">
        <f t="shared" si="9"/>
        <v>46.058589354041146</v>
      </c>
      <c r="R49" s="19">
        <f t="shared" si="10"/>
        <v>52</v>
      </c>
      <c r="S49" s="19">
        <f t="shared" si="11"/>
        <v>4</v>
      </c>
      <c r="T49" t="str">
        <f>IF(Q49&gt;=Parâmetros!$B$12,"A – Plena",IF(Q49&gt;=Parâmetros!$B$13,"B – Alta",IF(Q49&gt;=Parâmetros!$B$14,"C – Média",IF(Q49&gt;=Parâmetros!$B$15,"D – Baixa","E – Incipiente"))))</f>
        <v>C – Média</v>
      </c>
      <c r="U49" t="str">
        <f t="shared" si="12"/>
        <v>Não</v>
      </c>
      <c r="V49" s="20">
        <f t="shared" si="13"/>
        <v>52.665953923593293</v>
      </c>
    </row>
    <row r="50" spans="1:22" ht="14.25" customHeight="1" x14ac:dyDescent="0.25">
      <c r="A50" t="str">
        <f>Base_Tratada!A50</f>
        <v>REG-09</v>
      </c>
      <c r="B50" s="9" t="str">
        <f>Base_Tratada!B50</f>
        <v>Comando de Operações Aeroespaciais</v>
      </c>
      <c r="C50" s="9" t="str">
        <f>Base_Tratada!C50</f>
        <v>Nacional</v>
      </c>
      <c r="D50" s="9" t="str">
        <f>Base_Tratada!D50</f>
        <v>Organização Militar</v>
      </c>
      <c r="E50" s="9" t="str">
        <f>Base_Tratada!E50</f>
        <v>Nacional</v>
      </c>
      <c r="F50" s="15">
        <f>Base_Tratada!F50</f>
        <v>2</v>
      </c>
      <c r="G50" s="15">
        <f>Base_Tratada!G50</f>
        <v>1</v>
      </c>
      <c r="H50" s="15">
        <f>Base_Tratada!H50</f>
        <v>1</v>
      </c>
      <c r="I50" s="16">
        <f>Base_Tratada!I50</f>
        <v>45969</v>
      </c>
      <c r="J50" s="17">
        <f t="shared" si="7"/>
        <v>0.5</v>
      </c>
      <c r="K50" s="17">
        <f>IF(I50="","",MAX(0,Parâmetros!$B$7-I50))</f>
        <v>229</v>
      </c>
      <c r="L50" s="17">
        <f>IF(I50="","",MIN(1,POWER(0.5,K50/Parâmetros!$B$6)))</f>
        <v>0.80457642431141874</v>
      </c>
      <c r="M50" s="17">
        <f>LN(1+F50)/LN(1+Parâmetros!$B$9)</f>
        <v>0.11024442803855367</v>
      </c>
      <c r="N50" s="18">
        <f>100*(Parâmetros!$B$3*J50+Parâmetros!$B$4*L50+Parâmetros!$B$5*M50)</f>
        <v>50.916285551863496</v>
      </c>
      <c r="O50" t="str">
        <f>IF(N50&gt;=Parâmetros!$B$12,"A – Plena",IF(N50&gt;=Parâmetros!$B$13,"B – Alta",IF(N50&gt;=Parâmetros!$B$14,"C – Média",IF(N50&gt;=Parâmetros!$B$15,"D – Baixa","E – Incipiente"))))</f>
        <v>C – Média</v>
      </c>
      <c r="P50" s="19">
        <f t="shared" si="8"/>
        <v>49</v>
      </c>
      <c r="Q50" s="18">
        <f t="shared" si="9"/>
        <v>47.160695078332424</v>
      </c>
      <c r="R50" s="19">
        <f t="shared" si="10"/>
        <v>48</v>
      </c>
      <c r="S50" s="19">
        <f t="shared" si="11"/>
        <v>-1</v>
      </c>
      <c r="T50" t="str">
        <f>IF(Q50&gt;=Parâmetros!$B$12,"A – Plena",IF(Q50&gt;=Parâmetros!$B$13,"B – Alta",IF(Q50&gt;=Parâmetros!$B$14,"C – Média",IF(Q50&gt;=Parâmetros!$B$15,"D – Baixa","E – Incipiente"))))</f>
        <v>C – Média</v>
      </c>
      <c r="U50" t="str">
        <f t="shared" si="12"/>
        <v>Não</v>
      </c>
      <c r="V50" s="20">
        <f t="shared" si="13"/>
        <v>101.83257110372699</v>
      </c>
    </row>
    <row r="51" spans="1:22" ht="28.5" customHeight="1" x14ac:dyDescent="0.25">
      <c r="A51" t="str">
        <f>Base_Tratada!A51</f>
        <v>REG-64</v>
      </c>
      <c r="B51" s="9" t="str">
        <f>Base_Tratada!B51</f>
        <v>Seplag/AL - Secretaria de Estado do Planejamento, Gestão e Patrimônio de Alagoas</v>
      </c>
      <c r="C51" s="9" t="str">
        <f>Base_Tratada!C51</f>
        <v>Unidade Federativa</v>
      </c>
      <c r="D51" s="9" t="str">
        <f>Base_Tratada!D51</f>
        <v>Órgão do Governo</v>
      </c>
      <c r="E51" s="9" t="str">
        <f>Base_Tratada!E51</f>
        <v>Nordeste</v>
      </c>
      <c r="F51" s="15">
        <f>Base_Tratada!F51</f>
        <v>38</v>
      </c>
      <c r="G51" s="15">
        <f>Base_Tratada!G51</f>
        <v>38</v>
      </c>
      <c r="H51" s="15">
        <f>Base_Tratada!H51</f>
        <v>0</v>
      </c>
      <c r="I51" s="16">
        <f>Base_Tratada!I51</f>
        <v>42229</v>
      </c>
      <c r="J51" s="17">
        <f t="shared" si="7"/>
        <v>1</v>
      </c>
      <c r="K51" s="17">
        <f>IF(I51="","",MAX(0,Parâmetros!$B$7-I51))</f>
        <v>3969</v>
      </c>
      <c r="L51" s="17">
        <f>IF(I51="","",MIN(1,POWER(0.5,K51/Parâmetros!$B$6)))</f>
        <v>2.3083626425321496E-2</v>
      </c>
      <c r="M51" s="17">
        <f>LN(1+F51)/LN(1+Parâmetros!$B$9)</f>
        <v>0.36763402560442243</v>
      </c>
      <c r="N51" s="18">
        <f>100*(Parâmetros!$B$3*J51+Parâmetros!$B$4*L51+Parâmetros!$B$5*M51)</f>
        <v>49.998777564996814</v>
      </c>
      <c r="O51" t="str">
        <f>IF(N51&gt;=Parâmetros!$B$12,"A – Plena",IF(N51&gt;=Parâmetros!$B$13,"B – Alta",IF(N51&gt;=Parâmetros!$B$14,"C – Média",IF(N51&gt;=Parâmetros!$B$15,"D – Baixa","E – Incipiente"))))</f>
        <v>C – Média</v>
      </c>
      <c r="P51" s="19">
        <f t="shared" si="8"/>
        <v>50</v>
      </c>
      <c r="Q51" s="18">
        <f t="shared" si="9"/>
        <v>46.357255067658137</v>
      </c>
      <c r="R51" s="19">
        <f t="shared" si="10"/>
        <v>51</v>
      </c>
      <c r="S51" s="19">
        <f t="shared" si="11"/>
        <v>1</v>
      </c>
      <c r="T51" t="str">
        <f>IF(Q51&gt;=Parâmetros!$B$12,"A – Plena",IF(Q51&gt;=Parâmetros!$B$13,"B – Alta",IF(Q51&gt;=Parâmetros!$B$14,"C – Média",IF(Q51&gt;=Parâmetros!$B$15,"D – Baixa","E – Incipiente"))))</f>
        <v>C – Média</v>
      </c>
      <c r="U51" t="str">
        <f t="shared" si="12"/>
        <v>Não</v>
      </c>
      <c r="V51" s="20">
        <f t="shared" si="13"/>
        <v>1899.9535474698789</v>
      </c>
    </row>
    <row r="52" spans="1:22" ht="28.5" customHeight="1" x14ac:dyDescent="0.25">
      <c r="A52" t="str">
        <f>Base_Tratada!A52</f>
        <v>REG-06</v>
      </c>
      <c r="B52" s="9" t="str">
        <f>Base_Tratada!B52</f>
        <v>BNDES - Banco Nacional do Desenvolvimento Econômico e Social</v>
      </c>
      <c r="C52" s="9" t="str">
        <f>Base_Tratada!C52</f>
        <v>Nacional</v>
      </c>
      <c r="D52" s="9" t="str">
        <f>Base_Tratada!D52</f>
        <v>Empresa Pública</v>
      </c>
      <c r="E52" s="9" t="str">
        <f>Base_Tratada!E52</f>
        <v>Nacional</v>
      </c>
      <c r="F52" s="15">
        <f>Base_Tratada!F52</f>
        <v>102</v>
      </c>
      <c r="G52" s="15">
        <f>Base_Tratada!G52</f>
        <v>68</v>
      </c>
      <c r="H52" s="15">
        <f>Base_Tratada!H52</f>
        <v>34</v>
      </c>
      <c r="I52" s="16">
        <f>Base_Tratada!I52</f>
        <v>44961</v>
      </c>
      <c r="J52" s="17">
        <f t="shared" si="7"/>
        <v>0.66666666666666663</v>
      </c>
      <c r="K52" s="17">
        <f>IF(I52="","",MAX(0,Parâmetros!$B$7-I52))</f>
        <v>1237</v>
      </c>
      <c r="L52" s="17">
        <f>IF(I52="","",MIN(1,POWER(0.5,K52/Parâmetros!$B$6)))</f>
        <v>0.30895731826751627</v>
      </c>
      <c r="M52" s="17">
        <f>LN(1+F52)/LN(1+Parâmetros!$B$9)</f>
        <v>0.46508950581695102</v>
      </c>
      <c r="N52" s="18">
        <f>100*(Parâmetros!$B$3*J52+Parâmetros!$B$4*L52+Parâmetros!$B$5*M52)</f>
        <v>49.107410451453511</v>
      </c>
      <c r="O52" t="str">
        <f>IF(N52&gt;=Parâmetros!$B$12,"A – Plena",IF(N52&gt;=Parâmetros!$B$13,"B – Alta",IF(N52&gt;=Parâmetros!$B$14,"C – Média",IF(N52&gt;=Parâmetros!$B$15,"D – Baixa","E – Incipiente"))))</f>
        <v>C – Média</v>
      </c>
      <c r="P52" s="19">
        <f t="shared" si="8"/>
        <v>51</v>
      </c>
      <c r="Q52" s="18">
        <f t="shared" si="9"/>
        <v>48.023783025037794</v>
      </c>
      <c r="R52" s="19">
        <f t="shared" si="10"/>
        <v>47</v>
      </c>
      <c r="S52" s="19">
        <f t="shared" si="11"/>
        <v>-4</v>
      </c>
      <c r="T52" t="str">
        <f>IF(Q52&gt;=Parâmetros!$B$12,"A – Plena",IF(Q52&gt;=Parâmetros!$B$13,"B – Alta",IF(Q52&gt;=Parâmetros!$B$14,"C – Média",IF(Q52&gt;=Parâmetros!$B$15,"D – Baixa","E – Incipiente"))))</f>
        <v>C – Média</v>
      </c>
      <c r="U52" t="str">
        <f t="shared" si="12"/>
        <v>Não</v>
      </c>
      <c r="V52" s="20">
        <f t="shared" si="13"/>
        <v>5008.955866048258</v>
      </c>
    </row>
    <row r="53" spans="1:22" ht="28.5" customHeight="1" x14ac:dyDescent="0.25">
      <c r="A53" t="str">
        <f>Base_Tratada!A53</f>
        <v>REG-42</v>
      </c>
      <c r="B53" s="9" t="str">
        <f>Base_Tratada!B53</f>
        <v>MMA - Ministério do Meio Ambiente e Mudança do Clima</v>
      </c>
      <c r="C53" s="9" t="str">
        <f>Base_Tratada!C53</f>
        <v>Nacional</v>
      </c>
      <c r="D53" s="9" t="str">
        <f>Base_Tratada!D53</f>
        <v>Órgão do Governo</v>
      </c>
      <c r="E53" s="9" t="str">
        <f>Base_Tratada!E53</f>
        <v>Nacional</v>
      </c>
      <c r="F53" s="15">
        <f>Base_Tratada!F53</f>
        <v>3</v>
      </c>
      <c r="G53" s="15">
        <f>Base_Tratada!G53</f>
        <v>1</v>
      </c>
      <c r="H53" s="15">
        <f>Base_Tratada!H53</f>
        <v>2</v>
      </c>
      <c r="I53" s="16">
        <f>Base_Tratada!I53</f>
        <v>46109</v>
      </c>
      <c r="J53" s="17">
        <f t="shared" si="7"/>
        <v>0.33333333333333331</v>
      </c>
      <c r="K53" s="17">
        <f>IF(I53="","",MAX(0,Parâmetros!$B$7-I53))</f>
        <v>89</v>
      </c>
      <c r="L53" s="17">
        <f>IF(I53="","",MIN(1,POWER(0.5,K53/Parâmetros!$B$6)))</f>
        <v>0.91896523635726768</v>
      </c>
      <c r="M53" s="17">
        <f>LN(1+F53)/LN(1+Parâmetros!$B$9)</f>
        <v>0.13911297962998184</v>
      </c>
      <c r="N53" s="18">
        <f>100*(Parâmetros!$B$3*J53+Parâmetros!$B$4*L53+Parâmetros!$B$5*M53)</f>
        <v>48.974941096587244</v>
      </c>
      <c r="O53" t="str">
        <f>IF(N53&gt;=Parâmetros!$B$12,"A – Plena",IF(N53&gt;=Parâmetros!$B$13,"B – Alta",IF(N53&gt;=Parâmetros!$B$14,"C – Média",IF(N53&gt;=Parâmetros!$B$15,"D – Baixa","E – Incipiente"))))</f>
        <v>C – Média</v>
      </c>
      <c r="P53" s="19">
        <f t="shared" si="8"/>
        <v>52</v>
      </c>
      <c r="Q53" s="18">
        <f t="shared" si="9"/>
        <v>46.380384977352769</v>
      </c>
      <c r="R53" s="19">
        <f t="shared" si="10"/>
        <v>50</v>
      </c>
      <c r="S53" s="19">
        <f t="shared" si="11"/>
        <v>-2</v>
      </c>
      <c r="T53" t="str">
        <f>IF(Q53&gt;=Parâmetros!$B$12,"A – Plena",IF(Q53&gt;=Parâmetros!$B$13,"B – Alta",IF(Q53&gt;=Parâmetros!$B$14,"C – Média",IF(Q53&gt;=Parâmetros!$B$15,"D – Baixa","E – Incipiente"))))</f>
        <v>C – Média</v>
      </c>
      <c r="U53" t="str">
        <f t="shared" si="12"/>
        <v>Não</v>
      </c>
      <c r="V53" s="20">
        <f t="shared" si="13"/>
        <v>146.92482328976172</v>
      </c>
    </row>
    <row r="54" spans="1:22" ht="14.25" customHeight="1" x14ac:dyDescent="0.25">
      <c r="A54" t="str">
        <f>Base_Tratada!A54</f>
        <v>REG-03</v>
      </c>
      <c r="B54" s="9" t="str">
        <f>Base_Tratada!B54</f>
        <v>ANATEL - Agência Nacional de Telecomunicações</v>
      </c>
      <c r="C54" s="9" t="str">
        <f>Base_Tratada!C54</f>
        <v>Nacional</v>
      </c>
      <c r="D54" s="9" t="str">
        <f>Base_Tratada!D54</f>
        <v>Autarquia</v>
      </c>
      <c r="E54" s="9" t="str">
        <f>Base_Tratada!E54</f>
        <v>Nacional</v>
      </c>
      <c r="F54" s="15">
        <f>Base_Tratada!F54</f>
        <v>16</v>
      </c>
      <c r="G54" s="15">
        <f>Base_Tratada!G54</f>
        <v>16</v>
      </c>
      <c r="H54" s="15">
        <f>Base_Tratada!H54</f>
        <v>0</v>
      </c>
      <c r="I54" s="16">
        <f>Base_Tratada!I54</f>
        <v>42497</v>
      </c>
      <c r="J54" s="17">
        <f t="shared" si="7"/>
        <v>1</v>
      </c>
      <c r="K54" s="17">
        <f>IF(I54="","",MAX(0,Parâmetros!$B$7-I54))</f>
        <v>3701</v>
      </c>
      <c r="L54" s="17">
        <f>IF(I54="","",MIN(1,POWER(0.5,K54/Parâmetros!$B$6)))</f>
        <v>2.9772764278310524E-2</v>
      </c>
      <c r="M54" s="17">
        <f>LN(1+F54)/LN(1+Parâmetros!$B$9)</f>
        <v>0.28430956748658315</v>
      </c>
      <c r="N54" s="18">
        <f>100*(Parâmetros!$B$3*J54+Parâmetros!$B$4*L54+Parâmetros!$B$5*M54)</f>
        <v>48.149785936905445</v>
      </c>
      <c r="O54" t="str">
        <f>IF(N54&gt;=Parâmetros!$B$12,"A – Plena",IF(N54&gt;=Parâmetros!$B$13,"B – Alta",IF(N54&gt;=Parâmetros!$B$14,"C – Média",IF(N54&gt;=Parâmetros!$B$15,"D – Baixa","E – Incipiente"))))</f>
        <v>C – Média</v>
      </c>
      <c r="P54" s="19">
        <f t="shared" si="8"/>
        <v>53</v>
      </c>
      <c r="Q54" s="18">
        <f t="shared" si="9"/>
        <v>43.802744392163127</v>
      </c>
      <c r="R54" s="19">
        <f t="shared" si="10"/>
        <v>53</v>
      </c>
      <c r="S54" s="19">
        <f t="shared" si="11"/>
        <v>0</v>
      </c>
      <c r="T54" t="str">
        <f>IF(Q54&gt;=Parâmetros!$B$12,"A – Plena",IF(Q54&gt;=Parâmetros!$B$13,"B – Alta",IF(Q54&gt;=Parâmetros!$B$14,"C – Média",IF(Q54&gt;=Parâmetros!$B$15,"D – Baixa","E – Incipiente"))))</f>
        <v>C – Média</v>
      </c>
      <c r="U54" t="str">
        <f t="shared" si="12"/>
        <v>Não</v>
      </c>
      <c r="V54" s="20">
        <f t="shared" si="13"/>
        <v>770.39657499048712</v>
      </c>
    </row>
    <row r="55" spans="1:22" ht="28.5" customHeight="1" x14ac:dyDescent="0.25">
      <c r="A55" t="str">
        <f>Base_Tratada!A55</f>
        <v>REG-38</v>
      </c>
      <c r="B55" s="9" t="str">
        <f>Base_Tratada!B55</f>
        <v>MDA - Ministério do Desenvolvimento Agrário e Agricultura Familiar</v>
      </c>
      <c r="C55" s="9" t="str">
        <f>Base_Tratada!C55</f>
        <v>Nacional</v>
      </c>
      <c r="D55" s="9" t="str">
        <f>Base_Tratada!D55</f>
        <v>Órgão do Governo</v>
      </c>
      <c r="E55" s="9" t="str">
        <f>Base_Tratada!E55</f>
        <v>Nacional</v>
      </c>
      <c r="F55" s="15">
        <f>Base_Tratada!F55</f>
        <v>5</v>
      </c>
      <c r="G55" s="15">
        <f>Base_Tratada!G55</f>
        <v>5</v>
      </c>
      <c r="H55" s="15">
        <f>Base_Tratada!H55</f>
        <v>0</v>
      </c>
      <c r="I55" s="16">
        <f>Base_Tratada!I55</f>
        <v>41536</v>
      </c>
      <c r="J55" s="17">
        <f t="shared" si="7"/>
        <v>1</v>
      </c>
      <c r="K55" s="17">
        <f>IF(I55="","",MAX(0,Parâmetros!$B$7-I55))</f>
        <v>4662</v>
      </c>
      <c r="L55" s="17">
        <f>IF(I55="","",MIN(1,POWER(0.5,K55/Parâmetros!$B$6)))</f>
        <v>1.1954508532224033E-2</v>
      </c>
      <c r="M55" s="17">
        <f>LN(1+F55)/LN(1+Parâmetros!$B$9)</f>
        <v>0.17980091785354457</v>
      </c>
      <c r="N55" s="18">
        <f>100*(Parâmetros!$B$3*J55+Parâmetros!$B$4*L55+Parâmetros!$B$5*M55)</f>
        <v>44.913430744966455</v>
      </c>
      <c r="O55" t="str">
        <f>IF(N55&gt;=Parâmetros!$B$12,"A – Plena",IF(N55&gt;=Parâmetros!$B$13,"B – Alta",IF(N55&gt;=Parâmetros!$B$14,"C – Média",IF(N55&gt;=Parâmetros!$B$15,"D – Baixa","E – Incipiente"))))</f>
        <v>C – Média</v>
      </c>
      <c r="P55" s="19">
        <f t="shared" si="8"/>
        <v>54</v>
      </c>
      <c r="Q55" s="18">
        <f t="shared" si="9"/>
        <v>39.725180879525617</v>
      </c>
      <c r="R55" s="19">
        <f t="shared" si="10"/>
        <v>55</v>
      </c>
      <c r="S55" s="19">
        <f t="shared" si="11"/>
        <v>1</v>
      </c>
      <c r="T55" t="str">
        <f>IF(Q55&gt;=Parâmetros!$B$12,"A – Plena",IF(Q55&gt;=Parâmetros!$B$13,"B – Alta",IF(Q55&gt;=Parâmetros!$B$14,"C – Média",IF(Q55&gt;=Parâmetros!$B$15,"D – Baixa","E – Incipiente"))))</f>
        <v>D – Baixa</v>
      </c>
      <c r="U55" t="str">
        <f t="shared" si="12"/>
        <v>Sim</v>
      </c>
      <c r="V55" s="20">
        <f t="shared" si="13"/>
        <v>224.56715372483228</v>
      </c>
    </row>
    <row r="56" spans="1:22" ht="14.25" customHeight="1" x14ac:dyDescent="0.25">
      <c r="A56" t="str">
        <f>Base_Tratada!A56</f>
        <v>REG-67</v>
      </c>
      <c r="B56" s="9" t="str">
        <f>Base_Tratada!B56</f>
        <v>SPM - Secretaria de Políticas para as Mulheres</v>
      </c>
      <c r="C56" s="9" t="str">
        <f>Base_Tratada!C56</f>
        <v>Nacional</v>
      </c>
      <c r="D56" s="9" t="str">
        <f>Base_Tratada!D56</f>
        <v>Órgão do Governo</v>
      </c>
      <c r="E56" s="9" t="str">
        <f>Base_Tratada!E56</f>
        <v>Nacional</v>
      </c>
      <c r="F56" s="15">
        <f>Base_Tratada!F56</f>
        <v>3</v>
      </c>
      <c r="G56" s="15">
        <f>Base_Tratada!G56</f>
        <v>3</v>
      </c>
      <c r="H56" s="15">
        <f>Base_Tratada!H56</f>
        <v>0</v>
      </c>
      <c r="I56" s="16">
        <f>Base_Tratada!I56</f>
        <v>41577</v>
      </c>
      <c r="J56" s="17">
        <f t="shared" si="7"/>
        <v>1</v>
      </c>
      <c r="K56" s="17">
        <f>IF(I56="","",MAX(0,Parâmetros!$B$7-I56))</f>
        <v>4621</v>
      </c>
      <c r="L56" s="17">
        <f>IF(I56="","",MIN(1,POWER(0.5,K56/Parâmetros!$B$6)))</f>
        <v>1.2429077341007358E-2</v>
      </c>
      <c r="M56" s="17">
        <f>LN(1+F56)/LN(1+Parâmetros!$B$9)</f>
        <v>0.13911297962998184</v>
      </c>
      <c r="N56" s="18">
        <f>100*(Parâmetros!$B$3*J56+Parâmetros!$B$4*L56+Parâmetros!$B$5*M56)</f>
        <v>43.91284219768481</v>
      </c>
      <c r="O56" t="str">
        <f>IF(N56&gt;=Parâmetros!$B$12,"A – Plena",IF(N56&gt;=Parâmetros!$B$13,"B – Alta",IF(N56&gt;=Parâmetros!$B$14,"C – Média",IF(N56&gt;=Parâmetros!$B$15,"D – Baixa","E – Incipiente"))))</f>
        <v>C – Média</v>
      </c>
      <c r="P56" s="19">
        <f t="shared" si="8"/>
        <v>55</v>
      </c>
      <c r="Q56" s="18">
        <f t="shared" si="9"/>
        <v>38.38473523236631</v>
      </c>
      <c r="R56" s="19">
        <f t="shared" si="10"/>
        <v>57</v>
      </c>
      <c r="S56" s="19">
        <f t="shared" si="11"/>
        <v>2</v>
      </c>
      <c r="T56" t="str">
        <f>IF(Q56&gt;=Parâmetros!$B$12,"A – Plena",IF(Q56&gt;=Parâmetros!$B$13,"B – Alta",IF(Q56&gt;=Parâmetros!$B$14,"C – Média",IF(Q56&gt;=Parâmetros!$B$15,"D – Baixa","E – Incipiente"))))</f>
        <v>D – Baixa</v>
      </c>
      <c r="U56" t="str">
        <f t="shared" si="12"/>
        <v>Sim</v>
      </c>
      <c r="V56" s="20">
        <f t="shared" si="13"/>
        <v>131.73852659305442</v>
      </c>
    </row>
    <row r="57" spans="1:22" ht="28.5" customHeight="1" x14ac:dyDescent="0.25">
      <c r="A57" t="str">
        <f>Base_Tratada!A57</f>
        <v>REG-70</v>
      </c>
      <c r="B57" s="9" t="str">
        <f>Base_Tratada!B57</f>
        <v>UNILA - Universidade Federal da Integração Latino-Americana</v>
      </c>
      <c r="C57" s="9" t="str">
        <f>Base_Tratada!C57</f>
        <v>Nacional</v>
      </c>
      <c r="D57" s="9" t="str">
        <f>Base_Tratada!D57</f>
        <v>Academia</v>
      </c>
      <c r="E57" s="9" t="str">
        <f>Base_Tratada!E57</f>
        <v>Nacional</v>
      </c>
      <c r="F57" s="15">
        <f>Base_Tratada!F57</f>
        <v>33</v>
      </c>
      <c r="G57" s="15">
        <f>Base_Tratada!G57</f>
        <v>8</v>
      </c>
      <c r="H57" s="15">
        <f>Base_Tratada!H57</f>
        <v>25</v>
      </c>
      <c r="I57" s="16">
        <f>Base_Tratada!I57</f>
        <v>45759</v>
      </c>
      <c r="J57" s="17">
        <f t="shared" si="7"/>
        <v>0.24242424242424243</v>
      </c>
      <c r="K57" s="17">
        <f>IF(I57="","",MAX(0,Parâmetros!$B$7-I57))</f>
        <v>439</v>
      </c>
      <c r="L57" s="17">
        <f>IF(I57="","",MIN(1,POWER(0.5,K57/Parâmetros!$B$6)))</f>
        <v>0.65912780531436643</v>
      </c>
      <c r="M57" s="17">
        <f>LN(1+F57)/LN(1+Parâmetros!$B$9)</f>
        <v>0.35386605730157406</v>
      </c>
      <c r="N57" s="18">
        <f>100*(Parâmetros!$B$3*J57+Parâmetros!$B$4*L57+Parâmetros!$B$5*M57)</f>
        <v>41.61309431551188</v>
      </c>
      <c r="O57" t="str">
        <f>IF(N57&gt;=Parâmetros!$B$12,"A – Plena",IF(N57&gt;=Parâmetros!$B$13,"B – Alta",IF(N57&gt;=Parâmetros!$B$14,"C – Média",IF(N57&gt;=Parâmetros!$B$15,"D – Baixa","E – Incipiente"))))</f>
        <v>C – Média</v>
      </c>
      <c r="P57" s="19">
        <f t="shared" si="8"/>
        <v>56</v>
      </c>
      <c r="Q57" s="18">
        <f t="shared" si="9"/>
        <v>41.847270168006098</v>
      </c>
      <c r="R57" s="19">
        <f t="shared" si="10"/>
        <v>54</v>
      </c>
      <c r="S57" s="19">
        <f t="shared" si="11"/>
        <v>-2</v>
      </c>
      <c r="T57" t="str">
        <f>IF(Q57&gt;=Parâmetros!$B$12,"A – Plena",IF(Q57&gt;=Parâmetros!$B$13,"B – Alta",IF(Q57&gt;=Parâmetros!$B$14,"C – Média",IF(Q57&gt;=Parâmetros!$B$15,"D – Baixa","E – Incipiente"))))</f>
        <v>C – Média</v>
      </c>
      <c r="U57" t="str">
        <f t="shared" si="12"/>
        <v>Não</v>
      </c>
      <c r="V57" s="20">
        <f t="shared" si="13"/>
        <v>1373.2321124118921</v>
      </c>
    </row>
    <row r="58" spans="1:22" ht="28.5" customHeight="1" x14ac:dyDescent="0.25">
      <c r="A58" t="str">
        <f>Base_Tratada!A58</f>
        <v>REG-05</v>
      </c>
      <c r="B58" s="9" t="str">
        <f>Base_Tratada!B58</f>
        <v>ANP - Agência Nacional do Petróleo, Gás Natural e Biocombustíveis</v>
      </c>
      <c r="C58" s="9" t="str">
        <f>Base_Tratada!C58</f>
        <v>Nacional</v>
      </c>
      <c r="D58" s="9" t="str">
        <f>Base_Tratada!D58</f>
        <v>Autarquia</v>
      </c>
      <c r="E58" s="9" t="str">
        <f>Base_Tratada!E58</f>
        <v>Nacional</v>
      </c>
      <c r="F58" s="15">
        <f>Base_Tratada!F58</f>
        <v>19</v>
      </c>
      <c r="G58" s="15">
        <f>Base_Tratada!G58</f>
        <v>7</v>
      </c>
      <c r="H58" s="15">
        <f>Base_Tratada!H58</f>
        <v>12</v>
      </c>
      <c r="I58" s="16">
        <f>Base_Tratada!I58</f>
        <v>45420</v>
      </c>
      <c r="J58" s="17">
        <f t="shared" si="7"/>
        <v>0.36842105263157893</v>
      </c>
      <c r="K58" s="17">
        <f>IF(I58="","",MAX(0,Parâmetros!$B$7-I58))</f>
        <v>778</v>
      </c>
      <c r="L58" s="17">
        <f>IF(I58="","",MIN(1,POWER(0.5,K58/Parâmetros!$B$6)))</f>
        <v>0.4777231103057587</v>
      </c>
      <c r="M58" s="17">
        <f>LN(1+F58)/LN(1+Parâmetros!$B$9)</f>
        <v>0.30061814751315596</v>
      </c>
      <c r="N58" s="18">
        <f>100*(Parâmetros!$B$3*J58+Parâmetros!$B$4*L58+Parâmetros!$B$5*M58)</f>
        <v>38.97260465379361</v>
      </c>
      <c r="O58" t="str">
        <f>IF(N58&gt;=Parâmetros!$B$12,"A – Plena",IF(N58&gt;=Parâmetros!$B$13,"B – Alta",IF(N58&gt;=Parâmetros!$B$14,"C – Média",IF(N58&gt;=Parâmetros!$B$15,"D – Baixa","E – Incipiente"))))</f>
        <v>D – Baixa</v>
      </c>
      <c r="P58" s="19">
        <f t="shared" si="8"/>
        <v>57</v>
      </c>
      <c r="Q58" s="18">
        <f t="shared" si="9"/>
        <v>38.22541034834979</v>
      </c>
      <c r="R58" s="19">
        <f t="shared" si="10"/>
        <v>58</v>
      </c>
      <c r="S58" s="19">
        <f t="shared" si="11"/>
        <v>1</v>
      </c>
      <c r="T58" t="str">
        <f>IF(Q58&gt;=Parâmetros!$B$12,"A – Plena",IF(Q58&gt;=Parâmetros!$B$13,"B – Alta",IF(Q58&gt;=Parâmetros!$B$14,"C – Média",IF(Q58&gt;=Parâmetros!$B$15,"D – Baixa","E – Incipiente"))))</f>
        <v>D – Baixa</v>
      </c>
      <c r="U58" t="str">
        <f t="shared" si="12"/>
        <v>Não</v>
      </c>
      <c r="V58" s="20">
        <f t="shared" si="13"/>
        <v>740.47948842207859</v>
      </c>
    </row>
    <row r="59" spans="1:22" ht="14.25" customHeight="1" x14ac:dyDescent="0.25">
      <c r="A59" t="str">
        <f>Base_Tratada!A59</f>
        <v>REG-43+REG-44</v>
      </c>
      <c r="B59" s="9" t="str">
        <f>Base_Tratada!B59</f>
        <v>MP - Ministério do Planejamento e Orçamento</v>
      </c>
      <c r="C59" s="9" t="str">
        <f>Base_Tratada!C59</f>
        <v>Nacional</v>
      </c>
      <c r="D59" s="9" t="str">
        <f>Base_Tratada!D59</f>
        <v>Órgão do Governo</v>
      </c>
      <c r="E59" s="9" t="str">
        <f>Base_Tratada!E59</f>
        <v>Nacional</v>
      </c>
      <c r="F59" s="15">
        <f>Base_Tratada!F59</f>
        <v>169</v>
      </c>
      <c r="G59" s="15">
        <f>Base_Tratada!G59</f>
        <v>96</v>
      </c>
      <c r="H59" s="15">
        <f>Base_Tratada!H59</f>
        <v>73</v>
      </c>
      <c r="I59" s="16">
        <f>Base_Tratada!I59</f>
        <v>43431</v>
      </c>
      <c r="J59" s="17">
        <f t="shared" si="7"/>
        <v>0.56804733727810652</v>
      </c>
      <c r="K59" s="17">
        <f>IF(I59="","",MAX(0,Parâmetros!$B$7-I59))</f>
        <v>2767</v>
      </c>
      <c r="L59" s="17">
        <f>IF(I59="","",MIN(1,POWER(0.5,K59/Parâmetros!$B$6)))</f>
        <v>7.2272421400613379E-2</v>
      </c>
      <c r="M59" s="17">
        <f>LN(1+F59)/LN(1+Parâmetros!$B$9)</f>
        <v>0.51537122518474821</v>
      </c>
      <c r="N59" s="18">
        <f>100*(Parâmetros!$B$3*J59+Parâmetros!$B$4*L59+Parâmetros!$B$5*M59)</f>
        <v>38.135708869764436</v>
      </c>
      <c r="O59" t="str">
        <f>IF(N59&gt;=Parâmetros!$B$12,"A – Plena",IF(N59&gt;=Parâmetros!$B$13,"B – Alta",IF(N59&gt;=Parâmetros!$B$14,"C – Média",IF(N59&gt;=Parâmetros!$B$15,"D – Baixa","E – Incipiente"))))</f>
        <v>D – Baixa</v>
      </c>
      <c r="P59" s="19">
        <f t="shared" si="8"/>
        <v>58</v>
      </c>
      <c r="Q59" s="18">
        <f t="shared" si="9"/>
        <v>38.523032795448934</v>
      </c>
      <c r="R59" s="19">
        <f t="shared" si="10"/>
        <v>56</v>
      </c>
      <c r="S59" s="19">
        <f t="shared" si="11"/>
        <v>-2</v>
      </c>
      <c r="T59" t="str">
        <f>IF(Q59&gt;=Parâmetros!$B$12,"A – Plena",IF(Q59&gt;=Parâmetros!$B$13,"B – Alta",IF(Q59&gt;=Parâmetros!$B$14,"C – Média",IF(Q59&gt;=Parâmetros!$B$15,"D – Baixa","E – Incipiente"))))</f>
        <v>D – Baixa</v>
      </c>
      <c r="U59" t="str">
        <f t="shared" si="12"/>
        <v>Não</v>
      </c>
      <c r="V59" s="20">
        <f t="shared" si="13"/>
        <v>6444.9347989901898</v>
      </c>
    </row>
    <row r="60" spans="1:22" ht="28.5" customHeight="1" x14ac:dyDescent="0.25">
      <c r="A60" t="str">
        <f>Base_Tratada!A60</f>
        <v>REG-63</v>
      </c>
      <c r="B60" s="9" t="str">
        <f>Base_Tratada!B60</f>
        <v>SEMACE/CE - Superintendência Estadual do Meio Ambiente do Ceará</v>
      </c>
      <c r="C60" s="9" t="str">
        <f>Base_Tratada!C60</f>
        <v>Unidade Federativa</v>
      </c>
      <c r="D60" s="9" t="str">
        <f>Base_Tratada!D60</f>
        <v>Órgão do Governo</v>
      </c>
      <c r="E60" s="9" t="str">
        <f>Base_Tratada!E60</f>
        <v>Nordeste</v>
      </c>
      <c r="F60" s="15">
        <f>Base_Tratada!F60</f>
        <v>5</v>
      </c>
      <c r="G60" s="15">
        <f>Base_Tratada!G60</f>
        <v>3</v>
      </c>
      <c r="H60" s="15">
        <f>Base_Tratada!H60</f>
        <v>2</v>
      </c>
      <c r="I60" s="16">
        <f>Base_Tratada!I60</f>
        <v>44530</v>
      </c>
      <c r="J60" s="17">
        <f t="shared" si="7"/>
        <v>0.6</v>
      </c>
      <c r="K60" s="17">
        <f>IF(I60="","",MAX(0,Parâmetros!$B$7-I60))</f>
        <v>1668</v>
      </c>
      <c r="L60" s="17">
        <f>IF(I60="","",MIN(1,POWER(0.5,K60/Parâmetros!$B$6)))</f>
        <v>0.20519514378202022</v>
      </c>
      <c r="M60" s="17">
        <f>LN(1+F60)/LN(1+Parâmetros!$B$9)</f>
        <v>0.17980091785354457</v>
      </c>
      <c r="N60" s="18">
        <f>100*(Parâmetros!$B$3*J60+Parâmetros!$B$4*L60+Parâmetros!$B$5*M60)</f>
        <v>35.67685297870932</v>
      </c>
      <c r="O60" t="str">
        <f>IF(N60&gt;=Parâmetros!$B$12,"A – Plena",IF(N60&gt;=Parâmetros!$B$13,"B – Alta",IF(N60&gt;=Parâmetros!$B$14,"C – Média",IF(N60&gt;=Parâmetros!$B$15,"D – Baixa","E – Incipiente"))))</f>
        <v>D – Baixa</v>
      </c>
      <c r="P60" s="19">
        <f t="shared" si="8"/>
        <v>59</v>
      </c>
      <c r="Q60" s="18">
        <f t="shared" si="9"/>
        <v>32.833202054518829</v>
      </c>
      <c r="R60" s="19">
        <f t="shared" si="10"/>
        <v>60</v>
      </c>
      <c r="S60" s="19">
        <f t="shared" si="11"/>
        <v>1</v>
      </c>
      <c r="T60" t="str">
        <f>IF(Q60&gt;=Parâmetros!$B$12,"A – Plena",IF(Q60&gt;=Parâmetros!$B$13,"B – Alta",IF(Q60&gt;=Parâmetros!$B$14,"C – Média",IF(Q60&gt;=Parâmetros!$B$15,"D – Baixa","E – Incipiente"))))</f>
        <v>D – Baixa</v>
      </c>
      <c r="U60" t="str">
        <f t="shared" si="12"/>
        <v>Não</v>
      </c>
      <c r="V60" s="20">
        <f t="shared" si="13"/>
        <v>178.3842648935466</v>
      </c>
    </row>
    <row r="61" spans="1:22" ht="14.25" customHeight="1" x14ac:dyDescent="0.25">
      <c r="A61" t="str">
        <f>Base_Tratada!A61</f>
        <v>REG-55</v>
      </c>
      <c r="B61" s="9" t="str">
        <f>Base_Tratada!B61</f>
        <v>Prefeitura Municipal de Aracaju (SE)</v>
      </c>
      <c r="C61" s="9" t="str">
        <f>Base_Tratada!C61</f>
        <v>Municipal</v>
      </c>
      <c r="D61" s="9" t="str">
        <f>Base_Tratada!D61</f>
        <v>Prefeitura</v>
      </c>
      <c r="E61" s="9" t="str">
        <f>Base_Tratada!E61</f>
        <v>Nordeste</v>
      </c>
      <c r="F61" s="15">
        <f>Base_Tratada!F61</f>
        <v>6</v>
      </c>
      <c r="G61" s="15">
        <f>Base_Tratada!G61</f>
        <v>0</v>
      </c>
      <c r="H61" s="15">
        <f>Base_Tratada!H61</f>
        <v>6</v>
      </c>
      <c r="I61" s="16">
        <f>Base_Tratada!I61</f>
        <v>46031</v>
      </c>
      <c r="J61" s="17">
        <f t="shared" si="7"/>
        <v>0</v>
      </c>
      <c r="K61" s="17">
        <f>IF(I61="","",MAX(0,Parâmetros!$B$7-I61))</f>
        <v>167</v>
      </c>
      <c r="L61" s="17">
        <f>IF(I61="","",MIN(1,POWER(0.5,K61/Parâmetros!$B$6)))</f>
        <v>0.85336383513923608</v>
      </c>
      <c r="M61" s="17">
        <f>LN(1+F61)/LN(1+Parâmetros!$B$9)</f>
        <v>0.19526975404316438</v>
      </c>
      <c r="N61" s="18">
        <f>100*(Parâmetros!$B$3*J61+Parâmetros!$B$4*L61+Parâmetros!$B$5*M61)</f>
        <v>34.749478080952365</v>
      </c>
      <c r="O61" t="str">
        <f>IF(N61&gt;=Parâmetros!$B$12,"A – Plena",IF(N61&gt;=Parâmetros!$B$13,"B – Alta",IF(N61&gt;=Parâmetros!$B$14,"C – Média",IF(N61&gt;=Parâmetros!$B$15,"D – Baixa","E – Incipiente"))))</f>
        <v>D – Baixa</v>
      </c>
      <c r="P61" s="19">
        <f t="shared" si="8"/>
        <v>60</v>
      </c>
      <c r="Q61" s="18">
        <f t="shared" si="9"/>
        <v>34.95445297274668</v>
      </c>
      <c r="R61" s="19">
        <f t="shared" si="10"/>
        <v>59</v>
      </c>
      <c r="S61" s="19">
        <f t="shared" si="11"/>
        <v>-1</v>
      </c>
      <c r="T61" t="str">
        <f>IF(Q61&gt;=Parâmetros!$B$12,"A – Plena",IF(Q61&gt;=Parâmetros!$B$13,"B – Alta",IF(Q61&gt;=Parâmetros!$B$14,"C – Média",IF(Q61&gt;=Parâmetros!$B$15,"D – Baixa","E – Incipiente"))))</f>
        <v>D – Baixa</v>
      </c>
      <c r="U61" t="str">
        <f t="shared" si="12"/>
        <v>Não</v>
      </c>
      <c r="V61" s="20">
        <f t="shared" si="13"/>
        <v>208.49686848571417</v>
      </c>
    </row>
    <row r="62" spans="1:22" ht="14.25" customHeight="1" x14ac:dyDescent="0.25">
      <c r="A62" t="str">
        <f>Base_Tratada!A62</f>
        <v>REG-53</v>
      </c>
      <c r="B62" s="9" t="str">
        <f>Base_Tratada!B62</f>
        <v>Prefeitura de Paracambi (RJ)</v>
      </c>
      <c r="C62" s="9" t="str">
        <f>Base_Tratada!C62</f>
        <v>Municipal</v>
      </c>
      <c r="D62" s="9" t="str">
        <f>Base_Tratada!D62</f>
        <v>Prefeitura</v>
      </c>
      <c r="E62" s="9" t="str">
        <f>Base_Tratada!E62</f>
        <v>Sudeste</v>
      </c>
      <c r="F62" s="15">
        <f>Base_Tratada!F62</f>
        <v>2</v>
      </c>
      <c r="G62" s="15">
        <f>Base_Tratada!G62</f>
        <v>1</v>
      </c>
      <c r="H62" s="15">
        <f>Base_Tratada!H62</f>
        <v>1</v>
      </c>
      <c r="I62" s="16">
        <f>Base_Tratada!I62</f>
        <v>44957</v>
      </c>
      <c r="J62" s="17">
        <f t="shared" si="7"/>
        <v>0.5</v>
      </c>
      <c r="K62" s="17">
        <f>IF(I62="","",MAX(0,Parâmetros!$B$7-I62))</f>
        <v>1241</v>
      </c>
      <c r="L62" s="17">
        <f>IF(I62="","",MIN(1,POWER(0.5,K62/Parâmetros!$B$6)))</f>
        <v>0.30778610333622908</v>
      </c>
      <c r="M62" s="17">
        <f>LN(1+F62)/LN(1+Parâmetros!$B$9)</f>
        <v>0.11024442803855367</v>
      </c>
      <c r="N62" s="18">
        <f>100*(Parâmetros!$B$3*J62+Parâmetros!$B$4*L62+Parâmetros!$B$5*M62)</f>
        <v>33.528624317731861</v>
      </c>
      <c r="O62" t="str">
        <f>IF(N62&gt;=Parâmetros!$B$12,"A – Plena",IF(N62&gt;=Parâmetros!$B$13,"B – Alta",IF(N62&gt;=Parâmetros!$B$14,"C – Média",IF(N62&gt;=Parâmetros!$B$15,"D – Baixa","E – Incipiente"))))</f>
        <v>D – Baixa</v>
      </c>
      <c r="P62" s="19">
        <f t="shared" si="8"/>
        <v>61</v>
      </c>
      <c r="Q62" s="18">
        <f t="shared" si="9"/>
        <v>30.601017712492759</v>
      </c>
      <c r="R62" s="19">
        <f t="shared" si="10"/>
        <v>62</v>
      </c>
      <c r="S62" s="19">
        <f t="shared" si="11"/>
        <v>1</v>
      </c>
      <c r="T62" t="str">
        <f>IF(Q62&gt;=Parâmetros!$B$12,"A – Plena",IF(Q62&gt;=Parâmetros!$B$13,"B – Alta",IF(Q62&gt;=Parâmetros!$B$14,"C – Média",IF(Q62&gt;=Parâmetros!$B$15,"D – Baixa","E – Incipiente"))))</f>
        <v>D – Baixa</v>
      </c>
      <c r="U62" t="str">
        <f t="shared" si="12"/>
        <v>Não</v>
      </c>
      <c r="V62" s="20">
        <f t="shared" si="13"/>
        <v>67.057248635463722</v>
      </c>
    </row>
    <row r="63" spans="1:22" ht="14.25" customHeight="1" x14ac:dyDescent="0.25">
      <c r="A63" t="str">
        <f>Base_Tratada!A63</f>
        <v>REG-45</v>
      </c>
      <c r="B63" s="9" t="str">
        <f>Base_Tratada!B63</f>
        <v>MPA - Ministério da Pesca e Aquicultura</v>
      </c>
      <c r="C63" s="9" t="str">
        <f>Base_Tratada!C63</f>
        <v>Nacional</v>
      </c>
      <c r="D63" s="9" t="str">
        <f>Base_Tratada!D63</f>
        <v>Órgão do Governo</v>
      </c>
      <c r="E63" s="9" t="str">
        <f>Base_Tratada!E63</f>
        <v>Nacional</v>
      </c>
      <c r="F63" s="15">
        <f>Base_Tratada!F63</f>
        <v>53</v>
      </c>
      <c r="G63" s="15">
        <f>Base_Tratada!G63</f>
        <v>0</v>
      </c>
      <c r="H63" s="15">
        <f>Base_Tratada!H63</f>
        <v>53</v>
      </c>
      <c r="I63" s="16">
        <f>Base_Tratada!I63</f>
        <v>45608</v>
      </c>
      <c r="J63" s="17">
        <f t="shared" si="7"/>
        <v>0</v>
      </c>
      <c r="K63" s="17">
        <f>IF(I63="","",MAX(0,Parâmetros!$B$7-I63))</f>
        <v>590</v>
      </c>
      <c r="L63" s="17">
        <f>IF(I63="","",MIN(1,POWER(0.5,K63/Parâmetros!$B$6)))</f>
        <v>0.57108635586964063</v>
      </c>
      <c r="M63" s="17">
        <f>LN(1+F63)/LN(1+Parâmetros!$B$9)</f>
        <v>0.4002897739306519</v>
      </c>
      <c r="N63" s="18">
        <f>100*(Parâmetros!$B$3*J63+Parâmetros!$B$4*L63+Parâmetros!$B$5*M63)</f>
        <v>29.995266803703718</v>
      </c>
      <c r="O63" t="str">
        <f>IF(N63&gt;=Parâmetros!$B$12,"A – Plena",IF(N63&gt;=Parâmetros!$B$13,"B – Alta",IF(N63&gt;=Parâmetros!$B$14,"C – Média",IF(N63&gt;=Parâmetros!$B$15,"D – Baixa","E – Incipiente"))))</f>
        <v>D – Baixa</v>
      </c>
      <c r="P63" s="19">
        <f t="shared" si="8"/>
        <v>62</v>
      </c>
      <c r="Q63" s="18">
        <f t="shared" si="9"/>
        <v>32.379204326676415</v>
      </c>
      <c r="R63" s="19">
        <f t="shared" si="10"/>
        <v>61</v>
      </c>
      <c r="S63" s="19">
        <f t="shared" si="11"/>
        <v>-1</v>
      </c>
      <c r="T63" t="str">
        <f>IF(Q63&gt;=Parâmetros!$B$12,"A – Plena",IF(Q63&gt;=Parâmetros!$B$13,"B – Alta",IF(Q63&gt;=Parâmetros!$B$14,"C – Média",IF(Q63&gt;=Parâmetros!$B$15,"D – Baixa","E – Incipiente"))))</f>
        <v>D – Baixa</v>
      </c>
      <c r="U63" t="str">
        <f t="shared" si="12"/>
        <v>Não</v>
      </c>
      <c r="V63" s="20">
        <f t="shared" si="13"/>
        <v>1589.7491405962971</v>
      </c>
    </row>
    <row r="64" spans="1:22" ht="14.25" customHeight="1" x14ac:dyDescent="0.25">
      <c r="A64" t="str">
        <f>Base_Tratada!A64</f>
        <v>REG-52</v>
      </c>
      <c r="B64" s="9" t="str">
        <f>Base_Tratada!B64</f>
        <v>Prefeitura de Juazeiro do Norte (CE)</v>
      </c>
      <c r="C64" s="9" t="str">
        <f>Base_Tratada!C64</f>
        <v>Municipal</v>
      </c>
      <c r="D64" s="9" t="str">
        <f>Base_Tratada!D64</f>
        <v>Prefeitura</v>
      </c>
      <c r="E64" s="9" t="str">
        <f>Base_Tratada!E64</f>
        <v>Nordeste</v>
      </c>
      <c r="F64" s="15">
        <f>Base_Tratada!F64</f>
        <v>13</v>
      </c>
      <c r="G64" s="15">
        <f>Base_Tratada!G64</f>
        <v>0</v>
      </c>
      <c r="H64" s="15">
        <f>Base_Tratada!H64</f>
        <v>13</v>
      </c>
      <c r="I64" s="16">
        <f>Base_Tratada!I64</f>
        <v>45700</v>
      </c>
      <c r="J64" s="17">
        <f t="shared" si="7"/>
        <v>0</v>
      </c>
      <c r="K64" s="17">
        <f>IF(I64="","",MAX(0,Parâmetros!$B$7-I64))</f>
        <v>498</v>
      </c>
      <c r="L64" s="17">
        <f>IF(I64="","",MIN(1,POWER(0.5,K64/Parâmetros!$B$6)))</f>
        <v>0.62321774584007261</v>
      </c>
      <c r="M64" s="17">
        <f>LN(1+F64)/LN(1+Parâmetros!$B$9)</f>
        <v>0.26482624385815529</v>
      </c>
      <c r="N64" s="18">
        <f>100*(Parâmetros!$B$3*J64+Parâmetros!$B$4*L64+Parâmetros!$B$5*M64)</f>
        <v>28.433277200856423</v>
      </c>
      <c r="O64" t="str">
        <f>IF(N64&gt;=Parâmetros!$B$12,"A – Plena",IF(N64&gt;=Parâmetros!$B$13,"B – Alta",IF(N64&gt;=Parâmetros!$B$14,"C – Média",IF(N64&gt;=Parâmetros!$B$15,"D – Baixa","E – Incipiente"))))</f>
        <v>D – Baixa</v>
      </c>
      <c r="P64" s="19">
        <f t="shared" si="8"/>
        <v>63</v>
      </c>
      <c r="Q64" s="18">
        <f t="shared" si="9"/>
        <v>29.601466323274266</v>
      </c>
      <c r="R64" s="19">
        <f t="shared" si="10"/>
        <v>63</v>
      </c>
      <c r="S64" s="19">
        <f t="shared" si="11"/>
        <v>0</v>
      </c>
      <c r="T64" t="str">
        <f>IF(Q64&gt;=Parâmetros!$B$12,"A – Plena",IF(Q64&gt;=Parâmetros!$B$13,"B – Alta",IF(Q64&gt;=Parâmetros!$B$14,"C – Média",IF(Q64&gt;=Parâmetros!$B$15,"D – Baixa","E – Incipiente"))))</f>
        <v>D – Baixa</v>
      </c>
      <c r="U64" t="str">
        <f t="shared" si="12"/>
        <v>Não</v>
      </c>
      <c r="V64" s="20">
        <f t="shared" si="13"/>
        <v>369.6326036111335</v>
      </c>
    </row>
    <row r="65" spans="1:22" ht="28.5" customHeight="1" x14ac:dyDescent="0.25">
      <c r="A65" t="str">
        <f>Base_Tratada!A65</f>
        <v>REG-08</v>
      </c>
      <c r="B65" s="9" t="str">
        <f>Base_Tratada!B65</f>
        <v>Centro Estadual de Pesquisas em Sensoriamento Remoto e Meteorologia (RS)</v>
      </c>
      <c r="C65" s="9" t="str">
        <f>Base_Tratada!C65</f>
        <v>Unidade Federativa</v>
      </c>
      <c r="D65" s="9" t="str">
        <f>Base_Tratada!D65</f>
        <v>Academia</v>
      </c>
      <c r="E65" s="9" t="str">
        <f>Base_Tratada!E65</f>
        <v>Sul</v>
      </c>
      <c r="F65" s="15">
        <f>Base_Tratada!F65</f>
        <v>3</v>
      </c>
      <c r="G65" s="15">
        <f>Base_Tratada!G65</f>
        <v>0</v>
      </c>
      <c r="H65" s="15">
        <f>Base_Tratada!H65</f>
        <v>3</v>
      </c>
      <c r="I65" s="16">
        <f>Base_Tratada!I65</f>
        <v>45747</v>
      </c>
      <c r="J65" s="17">
        <f t="shared" si="7"/>
        <v>0</v>
      </c>
      <c r="K65" s="17">
        <f>IF(I65="","",MAX(0,Parâmetros!$B$7-I65))</f>
        <v>451</v>
      </c>
      <c r="L65" s="17">
        <f>IF(I65="","",MIN(1,POWER(0.5,K65/Parâmetros!$B$6)))</f>
        <v>0.65166019563623923</v>
      </c>
      <c r="M65" s="17">
        <f>LN(1+F65)/LN(1+Parâmetros!$B$9)</f>
        <v>0.13911297962998184</v>
      </c>
      <c r="N65" s="18">
        <f>100*(Parâmetros!$B$3*J65+Parâmetros!$B$4*L65+Parâmetros!$B$5*M65)</f>
        <v>26.285931338017921</v>
      </c>
      <c r="O65" t="str">
        <f>IF(N65&gt;=Parâmetros!$B$12,"A – Plena",IF(N65&gt;=Parâmetros!$B$13,"B – Alta",IF(N65&gt;=Parâmetros!$B$14,"C – Média",IF(N65&gt;=Parâmetros!$B$15,"D – Baixa","E – Incipiente"))))</f>
        <v>D – Baixa</v>
      </c>
      <c r="P65" s="19">
        <f t="shared" si="8"/>
        <v>64</v>
      </c>
      <c r="Q65" s="18">
        <f t="shared" si="9"/>
        <v>26.35910584220737</v>
      </c>
      <c r="R65" s="19">
        <f t="shared" si="10"/>
        <v>64</v>
      </c>
      <c r="S65" s="19">
        <f t="shared" si="11"/>
        <v>0</v>
      </c>
      <c r="T65" t="str">
        <f>IF(Q65&gt;=Parâmetros!$B$12,"A – Plena",IF(Q65&gt;=Parâmetros!$B$13,"B – Alta",IF(Q65&gt;=Parâmetros!$B$14,"C – Média",IF(Q65&gt;=Parâmetros!$B$15,"D – Baixa","E – Incipiente"))))</f>
        <v>D – Baixa</v>
      </c>
      <c r="U65" t="str">
        <f t="shared" si="12"/>
        <v>Não</v>
      </c>
      <c r="V65" s="20">
        <f t="shared" si="13"/>
        <v>78.857794014053766</v>
      </c>
    </row>
    <row r="66" spans="1:22" ht="28.5" customHeight="1" x14ac:dyDescent="0.25">
      <c r="A66" t="str">
        <f>Base_Tratada!A66</f>
        <v>REG-40</v>
      </c>
      <c r="B66" s="9" t="str">
        <f>Base_Tratada!B66</f>
        <v>MDS - Ministério do Desenvolvimento e Assistência Social, Família e Combate à Fome</v>
      </c>
      <c r="C66" s="9" t="str">
        <f>Base_Tratada!C66</f>
        <v>Nacional</v>
      </c>
      <c r="D66" s="9" t="str">
        <f>Base_Tratada!D66</f>
        <v>Órgão do Governo</v>
      </c>
      <c r="E66" s="9" t="str">
        <f>Base_Tratada!E66</f>
        <v>Nacional</v>
      </c>
      <c r="F66" s="15">
        <f>Base_Tratada!F66</f>
        <v>10</v>
      </c>
      <c r="G66" s="15">
        <f>Base_Tratada!G66</f>
        <v>4</v>
      </c>
      <c r="H66" s="15">
        <f>Base_Tratada!H66</f>
        <v>6</v>
      </c>
      <c r="I66" s="16">
        <f>Base_Tratada!I66</f>
        <v>41975</v>
      </c>
      <c r="J66" s="17">
        <f t="shared" si="7"/>
        <v>0.4</v>
      </c>
      <c r="K66" s="17">
        <f>IF(I66="","",MAX(0,Parâmetros!$B$7-I66))</f>
        <v>4223</v>
      </c>
      <c r="L66" s="17">
        <f>IF(I66="","",MIN(1,POWER(0.5,K66/Parâmetros!$B$6)))</f>
        <v>1.8136859704351901E-2</v>
      </c>
      <c r="M66" s="17">
        <f>LN(1+F66)/LN(1+Parâmetros!$B$9)</f>
        <v>0.24062592014740275</v>
      </c>
      <c r="N66" s="18">
        <f>100*(Parâmetros!$B$3*J66+Parâmetros!$B$4*L66+Parâmetros!$B$5*M66)</f>
        <v>22.650438093337389</v>
      </c>
      <c r="O66" t="str">
        <f>IF(N66&gt;=Parâmetros!$B$12,"A – Plena",IF(N66&gt;=Parâmetros!$B$13,"B – Alta",IF(N66&gt;=Parâmetros!$B$14,"C – Média",IF(N66&gt;=Parâmetros!$B$15,"D – Baixa","E – Incipiente"))))</f>
        <v>D – Baixa</v>
      </c>
      <c r="P66" s="19">
        <f t="shared" si="8"/>
        <v>65</v>
      </c>
      <c r="Q66" s="18">
        <f t="shared" si="9"/>
        <v>21.958759328391821</v>
      </c>
      <c r="R66" s="19">
        <f t="shared" ref="R66:R70" si="14">RANK(Q66,$Q$2:$Q$70,0)</f>
        <v>68</v>
      </c>
      <c r="S66" s="19">
        <f t="shared" ref="S66:S70" si="15">R66-P66</f>
        <v>3</v>
      </c>
      <c r="T66" t="str">
        <f>IF(Q66&gt;=Parâmetros!$B$12,"A – Plena",IF(Q66&gt;=Parâmetros!$B$13,"B – Alta",IF(Q66&gt;=Parâmetros!$B$14,"C – Média",IF(Q66&gt;=Parâmetros!$B$15,"D – Baixa","E – Incipiente"))))</f>
        <v>D – Baixa</v>
      </c>
      <c r="U66" t="str">
        <f t="shared" ref="U66:U70" si="16">IF(O66=T66,"Não","Sim")</f>
        <v>Não</v>
      </c>
      <c r="V66" s="20">
        <f t="shared" si="13"/>
        <v>226.50438093337388</v>
      </c>
    </row>
    <row r="67" spans="1:22" ht="28.5" customHeight="1" x14ac:dyDescent="0.25">
      <c r="A67" t="str">
        <f>Base_Tratada!A67</f>
        <v>REG-69</v>
      </c>
      <c r="B67" s="9" t="str">
        <f>Base_Tratada!B67</f>
        <v>UNB - Fundação Universidade de Brasília / Instituto de Geociências</v>
      </c>
      <c r="C67" s="9" t="str">
        <f>Base_Tratada!C67</f>
        <v>Nacional</v>
      </c>
      <c r="D67" s="9" t="str">
        <f>Base_Tratada!D67</f>
        <v>Academia</v>
      </c>
      <c r="E67" s="9" t="str">
        <f>Base_Tratada!E67</f>
        <v>Centro Oeste</v>
      </c>
      <c r="F67" s="15">
        <f>Base_Tratada!F67</f>
        <v>92</v>
      </c>
      <c r="G67" s="15">
        <f>Base_Tratada!G67</f>
        <v>24</v>
      </c>
      <c r="H67" s="15">
        <f>Base_Tratada!H67</f>
        <v>68</v>
      </c>
      <c r="I67" s="16">
        <f>Base_Tratada!I67</f>
        <v>41390</v>
      </c>
      <c r="J67" s="17">
        <f t="shared" si="7"/>
        <v>0.2608695652173913</v>
      </c>
      <c r="K67" s="17">
        <f>IF(I67="","",MAX(0,Parâmetros!$B$7-I67))</f>
        <v>4808</v>
      </c>
      <c r="L67" s="17">
        <f>IF(I67="","",MIN(1,POWER(0.5,K67/Parâmetros!$B$6)))</f>
        <v>1.0407004136655955E-2</v>
      </c>
      <c r="M67" s="17">
        <f>LN(1+F67)/LN(1+Parâmetros!$B$9)</f>
        <v>0.45484093324344399</v>
      </c>
      <c r="N67" s="18">
        <f>100*(Parâmetros!$B$3*J67+Parâmetros!$B$4*L67+Parâmetros!$B$5*M67)</f>
        <v>22.170051084564712</v>
      </c>
      <c r="O67" t="str">
        <f>IF(N67&gt;=Parâmetros!$B$12,"A – Plena",IF(N67&gt;=Parâmetros!$B$13,"B – Alta",IF(N67&gt;=Parâmetros!$B$14,"C – Média",IF(N67&gt;=Parâmetros!$B$15,"D – Baixa","E – Incipiente"))))</f>
        <v>D – Baixa</v>
      </c>
      <c r="P67" s="19">
        <f t="shared" si="8"/>
        <v>66</v>
      </c>
      <c r="Q67" s="18">
        <f t="shared" si="9"/>
        <v>24.203916753249711</v>
      </c>
      <c r="R67" s="19">
        <f t="shared" si="14"/>
        <v>65</v>
      </c>
      <c r="S67" s="19">
        <f t="shared" si="15"/>
        <v>-1</v>
      </c>
      <c r="T67" t="str">
        <f>IF(Q67&gt;=Parâmetros!$B$12,"A – Plena",IF(Q67&gt;=Parâmetros!$B$13,"B – Alta",IF(Q67&gt;=Parâmetros!$B$14,"C – Média",IF(Q67&gt;=Parâmetros!$B$15,"D – Baixa","E – Incipiente"))))</f>
        <v>D – Baixa</v>
      </c>
      <c r="U67" t="str">
        <f t="shared" si="16"/>
        <v>Não</v>
      </c>
      <c r="V67" s="20">
        <f t="shared" si="13"/>
        <v>2039.6446997799535</v>
      </c>
    </row>
    <row r="68" spans="1:22" ht="14.25" customHeight="1" x14ac:dyDescent="0.25">
      <c r="A68" t="str">
        <f>Base_Tratada!A68</f>
        <v>REG-01</v>
      </c>
      <c r="B68" s="9" t="str">
        <f>Base_Tratada!B68</f>
        <v>Agência Nacional de Transportes Terrestres</v>
      </c>
      <c r="C68" s="9" t="str">
        <f>Base_Tratada!C68</f>
        <v>Nacional</v>
      </c>
      <c r="D68" s="9" t="str">
        <f>Base_Tratada!D68</f>
        <v>Autarquia</v>
      </c>
      <c r="E68" s="9" t="str">
        <f>Base_Tratada!E68</f>
        <v>Nacional</v>
      </c>
      <c r="F68" s="15">
        <f>Base_Tratada!F68</f>
        <v>7</v>
      </c>
      <c r="G68" s="15">
        <f>Base_Tratada!G68</f>
        <v>0</v>
      </c>
      <c r="H68" s="15">
        <f>Base_Tratada!H68</f>
        <v>7</v>
      </c>
      <c r="I68" s="16">
        <f>Base_Tratada!I68</f>
        <v>45395</v>
      </c>
      <c r="J68" s="17">
        <f t="shared" si="7"/>
        <v>0</v>
      </c>
      <c r="K68" s="17">
        <f>IF(I68="","",MAX(0,Parâmetros!$B$7-I68))</f>
        <v>803</v>
      </c>
      <c r="L68" s="17">
        <f>IF(I68="","",MIN(1,POWER(0.5,K68/Parâmetros!$B$6)))</f>
        <v>0.46651649576840371</v>
      </c>
      <c r="M68" s="17">
        <f>LN(1+F68)/LN(1+Parâmetros!$B$9)</f>
        <v>0.20866946944497278</v>
      </c>
      <c r="N68" s="18">
        <f>100*(Parâmetros!$B$3*J68+Parâmetros!$B$4*L68+Parâmetros!$B$5*M68)</f>
        <v>21.544814088018448</v>
      </c>
      <c r="O68" t="str">
        <f>IF(N68&gt;=Parâmetros!$B$12,"A – Plena",IF(N68&gt;=Parâmetros!$B$13,"B – Alta",IF(N68&gt;=Parâmetros!$B$14,"C – Média",IF(N68&gt;=Parâmetros!$B$15,"D – Baixa","E – Incipiente"))))</f>
        <v>D – Baixa</v>
      </c>
      <c r="P68" s="19">
        <f t="shared" si="8"/>
        <v>67</v>
      </c>
      <c r="Q68" s="18">
        <f t="shared" si="9"/>
        <v>22.506198840445879</v>
      </c>
      <c r="R68" s="19">
        <f t="shared" si="14"/>
        <v>66</v>
      </c>
      <c r="S68" s="19">
        <f t="shared" si="15"/>
        <v>-1</v>
      </c>
      <c r="T68" t="str">
        <f>IF(Q68&gt;=Parâmetros!$B$12,"A – Plena",IF(Q68&gt;=Parâmetros!$B$13,"B – Alta",IF(Q68&gt;=Parâmetros!$B$14,"C – Média",IF(Q68&gt;=Parâmetros!$B$15,"D – Baixa","E – Incipiente"))))</f>
        <v>D – Baixa</v>
      </c>
      <c r="U68" t="str">
        <f t="shared" si="16"/>
        <v>Não</v>
      </c>
      <c r="V68" s="20">
        <f t="shared" si="13"/>
        <v>150.81369861612913</v>
      </c>
    </row>
    <row r="69" spans="1:22" ht="14.25" customHeight="1" x14ac:dyDescent="0.25">
      <c r="A69" t="str">
        <f>Base_Tratada!A69</f>
        <v>REG-33</v>
      </c>
      <c r="B69" s="9" t="str">
        <f>Base_Tratada!B69</f>
        <v>MAPA - Ministério da Agricultura e Pecuária</v>
      </c>
      <c r="C69" s="9" t="str">
        <f>Base_Tratada!C69</f>
        <v>Nacional</v>
      </c>
      <c r="D69" s="9" t="str">
        <f>Base_Tratada!D69</f>
        <v>Órgão do Governo</v>
      </c>
      <c r="E69" s="9" t="str">
        <f>Base_Tratada!E69</f>
        <v>Nacional</v>
      </c>
      <c r="F69" s="15">
        <f>Base_Tratada!F69</f>
        <v>36</v>
      </c>
      <c r="G69" s="15">
        <f>Base_Tratada!G69</f>
        <v>0</v>
      </c>
      <c r="H69" s="15">
        <f>Base_Tratada!H69</f>
        <v>36</v>
      </c>
      <c r="I69" s="16">
        <f>Base_Tratada!I69</f>
        <v>44943</v>
      </c>
      <c r="J69" s="17">
        <f t="shared" si="7"/>
        <v>0</v>
      </c>
      <c r="K69" s="17">
        <f>IF(I69="","",MAX(0,Parâmetros!$B$7-I69))</f>
        <v>1255</v>
      </c>
      <c r="L69" s="17">
        <f>IF(I69="","",MIN(1,POWER(0.5,K69/Parâmetros!$B$6)))</f>
        <v>0.30372170511480928</v>
      </c>
      <c r="M69" s="17">
        <f>LN(1+F69)/LN(1+Parâmetros!$B$9)</f>
        <v>0.36235128996804022</v>
      </c>
      <c r="N69" s="18">
        <f>100*(Parâmetros!$B$3*J69+Parâmetros!$B$4*L69+Parâmetros!$B$5*M69)</f>
        <v>19.689041928219332</v>
      </c>
      <c r="O69" t="str">
        <f>IF(N69&gt;=Parâmetros!$B$12,"A – Plena",IF(N69&gt;=Parâmetros!$B$13,"B – Alta",IF(N69&gt;=Parâmetros!$B$14,"C – Média",IF(N69&gt;=Parâmetros!$B$15,"D – Baixa","E – Incipiente"))))</f>
        <v>E – Incipiente</v>
      </c>
      <c r="P69" s="19">
        <f t="shared" si="8"/>
        <v>68</v>
      </c>
      <c r="Q69" s="18">
        <f t="shared" si="9"/>
        <v>22.202433169428314</v>
      </c>
      <c r="R69" s="19">
        <f t="shared" si="14"/>
        <v>67</v>
      </c>
      <c r="S69" s="19">
        <f t="shared" si="15"/>
        <v>-1</v>
      </c>
      <c r="T69" t="str">
        <f>IF(Q69&gt;=Parâmetros!$B$12,"A – Plena",IF(Q69&gt;=Parâmetros!$B$13,"B – Alta",IF(Q69&gt;=Parâmetros!$B$14,"C – Média",IF(Q69&gt;=Parâmetros!$B$15,"D – Baixa","E – Incipiente"))))</f>
        <v>D – Baixa</v>
      </c>
      <c r="U69" t="str">
        <f t="shared" si="16"/>
        <v>Sim</v>
      </c>
      <c r="V69" s="20">
        <f t="shared" si="13"/>
        <v>708.80550941589593</v>
      </c>
    </row>
    <row r="70" spans="1:22" ht="28.5" customHeight="1" x14ac:dyDescent="0.25">
      <c r="A70" t="str">
        <f>Base_Tratada!A70</f>
        <v>REG-39</v>
      </c>
      <c r="B70" s="9" t="str">
        <f>Base_Tratada!B70</f>
        <v>MDIC - Ministério do Desenvolvimento, Indústria, Comércio e Serviços</v>
      </c>
      <c r="C70" s="9" t="str">
        <f>Base_Tratada!C70</f>
        <v>Nacional</v>
      </c>
      <c r="D70" s="9" t="str">
        <f>Base_Tratada!D70</f>
        <v>Órgão do Governo</v>
      </c>
      <c r="E70" s="9" t="str">
        <f>Base_Tratada!E70</f>
        <v>Nacional</v>
      </c>
      <c r="F70" s="15">
        <f>Base_Tratada!F70</f>
        <v>12</v>
      </c>
      <c r="G70" s="15">
        <f>Base_Tratada!G70</f>
        <v>0</v>
      </c>
      <c r="H70" s="15">
        <f>Base_Tratada!H70</f>
        <v>12</v>
      </c>
      <c r="I70" s="16">
        <f>Base_Tratada!I70</f>
        <v>41697</v>
      </c>
      <c r="J70" s="17">
        <f t="shared" si="7"/>
        <v>0</v>
      </c>
      <c r="K70" s="17">
        <f>IF(I70="","",MAX(0,Parâmetros!$B$7-I70))</f>
        <v>4501</v>
      </c>
      <c r="L70" s="17">
        <f>IF(I70="","",MIN(1,POWER(0.5,K70/Parâmetros!$B$6)))</f>
        <v>1.3929106960464075E-2</v>
      </c>
      <c r="M70" s="17">
        <f>LN(1+F70)/LN(1+Parâmetros!$B$9)</f>
        <v>0.25738959756586877</v>
      </c>
      <c r="N70" s="18">
        <f>100*(Parâmetros!$B$3*J70+Parâmetros!$B$4*L70+Parâmetros!$B$5*M70)</f>
        <v>6.922258682762962</v>
      </c>
      <c r="O70" t="str">
        <f>IF(N70&gt;=Parâmetros!$B$12,"A – Plena",IF(N70&gt;=Parâmetros!$B$13,"B – Alta",IF(N70&gt;=Parâmetros!$B$14,"C – Média",IF(N70&gt;=Parâmetros!$B$15,"D – Baixa","E – Incipiente"))))</f>
        <v>E – Incipiente</v>
      </c>
      <c r="P70" s="19">
        <f t="shared" si="8"/>
        <v>69</v>
      </c>
      <c r="Q70" s="18">
        <f t="shared" si="9"/>
        <v>9.0439568175444283</v>
      </c>
      <c r="R70" s="19">
        <f t="shared" si="14"/>
        <v>69</v>
      </c>
      <c r="S70" s="19">
        <f t="shared" si="15"/>
        <v>0</v>
      </c>
      <c r="T70" t="str">
        <f>IF(Q70&gt;=Parâmetros!$B$12,"A – Plena",IF(Q70&gt;=Parâmetros!$B$13,"B – Alta",IF(Q70&gt;=Parâmetros!$B$14,"C – Média",IF(Q70&gt;=Parâmetros!$B$15,"D – Baixa","E – Incipiente"))))</f>
        <v>E – Incipiente</v>
      </c>
      <c r="U70" t="str">
        <f t="shared" si="16"/>
        <v>Não</v>
      </c>
      <c r="V70" s="20">
        <f t="shared" si="13"/>
        <v>83.067104193155544</v>
      </c>
    </row>
  </sheetData>
  <conditionalFormatting sqref="N2:N70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70">
    <cfRule type="expression" dxfId="4" priority="5">
      <formula>O2="A – Plena"</formula>
    </cfRule>
    <cfRule type="expression" dxfId="3" priority="6">
      <formula>O2="B – Alta"</formula>
    </cfRule>
    <cfRule type="expression" dxfId="2" priority="7">
      <formula>O2="C – Média"</formula>
    </cfRule>
    <cfRule type="expression" dxfId="1" priority="8">
      <formula>O2="D – Baixa"</formula>
    </cfRule>
    <cfRule type="expression" dxfId="0" priority="9">
      <formula>O2="E – Incipiente"</formula>
    </cfRule>
  </conditionalFormatting>
  <conditionalFormatting sqref="S2:S70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{91A4B796-4095-44F7-AD90-FC167FDD2150}</x14:id>
        </ext>
      </extLst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{42BC7DA5-F212-44A5-81D3-FF7980C52100}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4B796-4095-44F7-AD90-FC167FDD2150}">
            <x14:dataBar axisPosition="none">
              <x14:cfvo type="min"/>
              <x14:cfvo type="max"/>
              <x14:negativeFillColor rgb="FF5B9BD5"/>
            </x14:dataBar>
          </x14:cfRule>
          <x14:cfRule type="dataBar" id="{42BC7DA5-F212-44A5-81D3-FF7980C52100}">
            <x14:dataBar axisPosition="none">
              <x14:cfvo type="min"/>
              <x14:cfvo type="max"/>
              <x14:negativeFillColor rgb="FF5B9BD5"/>
            </x14:dataBar>
          </x14:cfRule>
          <xm:sqref>S2:S70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zoomScaleNormal="100" workbookViewId="0">
      <selection activeCell="C15" sqref="C15"/>
    </sheetView>
  </sheetViews>
  <sheetFormatPr defaultColWidth="8.7109375" defaultRowHeight="15" x14ac:dyDescent="0.25"/>
  <cols>
    <col min="1" max="1" width="38" customWidth="1"/>
    <col min="2" max="5" width="13" customWidth="1"/>
    <col min="6" max="12" width="17" customWidth="1"/>
  </cols>
  <sheetData>
    <row r="1" spans="1:12" ht="20.25" customHeight="1" x14ac:dyDescent="0.25">
      <c r="A1" s="24" t="s">
        <v>215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4.2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75" customHeight="1" x14ac:dyDescent="0.25">
      <c r="A3" s="25" t="s">
        <v>216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30" customHeight="1" x14ac:dyDescent="0.25">
      <c r="A4" s="4" t="s">
        <v>217</v>
      </c>
      <c r="B4" s="4" t="s">
        <v>214</v>
      </c>
      <c r="C4" s="4" t="s">
        <v>5</v>
      </c>
      <c r="D4" s="4" t="s">
        <v>6</v>
      </c>
      <c r="E4" s="4" t="s">
        <v>7</v>
      </c>
      <c r="F4" s="4" t="s">
        <v>213</v>
      </c>
      <c r="G4" s="4" t="s">
        <v>218</v>
      </c>
      <c r="H4" s="4" t="s">
        <v>219</v>
      </c>
      <c r="I4" s="4" t="s">
        <v>220</v>
      </c>
      <c r="J4" s="4" t="s">
        <v>221</v>
      </c>
      <c r="K4" s="4" t="s">
        <v>222</v>
      </c>
      <c r="L4" s="4" t="s">
        <v>223</v>
      </c>
    </row>
    <row r="5" spans="1:12" ht="14.25" customHeight="1" x14ac:dyDescent="0.25">
      <c r="A5" s="9" t="s">
        <v>11</v>
      </c>
      <c r="B5" s="11">
        <f>COUNTIF('Cálculo_IC-INDE'!$C$2:$C$70,A5)</f>
        <v>42</v>
      </c>
      <c r="C5" s="11">
        <f>SUMIF('Cálculo_IC-INDE'!$C$2:$C$70,A5,'Cálculo_IC-INDE'!$F$2:$F$70)</f>
        <v>55723</v>
      </c>
      <c r="D5" s="11">
        <f>SUMIF('Cálculo_IC-INDE'!$C$2:$C$70,A5,'Cálculo_IC-INDE'!$G$2:$G$70)</f>
        <v>52675</v>
      </c>
      <c r="E5" s="11">
        <f>SUMIF('Cálculo_IC-INDE'!$C$2:$C$70,A5,'Cálculo_IC-INDE'!$H$2:$H$70)</f>
        <v>3048</v>
      </c>
      <c r="F5" s="21">
        <f>IFERROR(D5/C5,0)</f>
        <v>0.9453008631983203</v>
      </c>
      <c r="G5" s="10">
        <f>AVERAGEIF('Cálculo_IC-INDE'!$C$2:$C$70,A5,'Cálculo_IC-INDE'!$N$2:$N$70)</f>
        <v>60.305803397018266</v>
      </c>
      <c r="H5" s="10">
        <f>IFERROR(SUMIF('Cálculo_IC-INDE'!$C$2:$C$70,A5,'Cálculo_IC-INDE'!$V$2:$V$70)/C5,0)</f>
        <v>93.108458733295109</v>
      </c>
      <c r="I5" s="22">
        <f>AVERAGEIF('Cálculo_IC-INDE'!$C$2:$C$70,A5,'Cálculo_IC-INDE'!$J$2:$J$70)</f>
        <v>0.76009547401819366</v>
      </c>
      <c r="J5" s="22">
        <f>AVERAGEIF('Cálculo_IC-INDE'!$C$2:$C$70,A5,'Cálculo_IC-INDE'!$L$2:$L$70)</f>
        <v>0.57034083031713623</v>
      </c>
      <c r="K5" s="22">
        <f>AVERAGEIF('Cálculo_IC-INDE'!$C$2:$C$70,A5,'Cálculo_IC-INDE'!$M$2:$M$70)</f>
        <v>0.39760221500762943</v>
      </c>
      <c r="L5" s="21">
        <f>C5/SUM('Cálculo_IC-INDE'!$F$2:$F$70)</f>
        <v>0.82042108362779742</v>
      </c>
    </row>
    <row r="6" spans="1:12" ht="14.25" customHeight="1" x14ac:dyDescent="0.25">
      <c r="A6" s="9" t="s">
        <v>160</v>
      </c>
      <c r="B6" s="11">
        <f>COUNTIF('Cálculo_IC-INDE'!$C$2:$C$70,A6)</f>
        <v>16</v>
      </c>
      <c r="C6" s="11">
        <f>SUMIF('Cálculo_IC-INDE'!$C$2:$C$70,A6,'Cálculo_IC-INDE'!$F$2:$F$70)</f>
        <v>10840</v>
      </c>
      <c r="D6" s="11">
        <f>SUMIF('Cálculo_IC-INDE'!$C$2:$C$70,A6,'Cálculo_IC-INDE'!$G$2:$G$70)</f>
        <v>10690</v>
      </c>
      <c r="E6" s="11">
        <f>SUMIF('Cálculo_IC-INDE'!$C$2:$C$70,A6,'Cálculo_IC-INDE'!$H$2:$H$70)</f>
        <v>150</v>
      </c>
      <c r="F6" s="21">
        <f>IFERROR(D6/C6,0)</f>
        <v>0.98616236162361626</v>
      </c>
      <c r="G6" s="10">
        <f>AVERAGEIF('Cálculo_IC-INDE'!$C$2:$C$70,A6,'Cálculo_IC-INDE'!$N$2:$N$70)</f>
        <v>75.571499198421336</v>
      </c>
      <c r="H6" s="10">
        <f>IFERROR(SUMIF('Cálculo_IC-INDE'!$C$2:$C$70,A6,'Cálculo_IC-INDE'!$V$2:$V$70)/C6,0)</f>
        <v>88.353674064123183</v>
      </c>
      <c r="I6" s="22">
        <f>AVERAGEIF('Cálculo_IC-INDE'!$C$2:$C$70,A6,'Cálculo_IC-INDE'!$J$2:$J$70)</f>
        <v>0.89985087481124615</v>
      </c>
      <c r="J6" s="22">
        <f>AVERAGEIF('Cálculo_IC-INDE'!$C$2:$C$70,A6,'Cálculo_IC-INDE'!$L$2:$L$70)</f>
        <v>0.73437399093378153</v>
      </c>
      <c r="K6" s="22">
        <f>AVERAGEIF('Cálculo_IC-INDE'!$C$2:$C$70,A6,'Cálculo_IC-INDE'!$M$2:$M$70)</f>
        <v>0.55497498093156528</v>
      </c>
      <c r="L6" s="21">
        <f>C6/SUM('Cálculo_IC-INDE'!$F$2:$F$70)</f>
        <v>0.15959952885747938</v>
      </c>
    </row>
    <row r="7" spans="1:12" ht="14.25" customHeight="1" x14ac:dyDescent="0.25">
      <c r="A7" s="9" t="s">
        <v>45</v>
      </c>
      <c r="B7" s="11">
        <f>COUNTIF('Cálculo_IC-INDE'!$C$2:$C$70,A7)</f>
        <v>11</v>
      </c>
      <c r="C7" s="11">
        <f>SUMIF('Cálculo_IC-INDE'!$C$2:$C$70,A7,'Cálculo_IC-INDE'!$F$2:$F$70)</f>
        <v>1357</v>
      </c>
      <c r="D7" s="11">
        <f>SUMIF('Cálculo_IC-INDE'!$C$2:$C$70,A7,'Cálculo_IC-INDE'!$G$2:$G$70)</f>
        <v>1333</v>
      </c>
      <c r="E7" s="11">
        <f>SUMIF('Cálculo_IC-INDE'!$C$2:$C$70,A7,'Cálculo_IC-INDE'!$H$2:$H$70)</f>
        <v>24</v>
      </c>
      <c r="F7" s="21">
        <f>IFERROR(D7/C7,0)</f>
        <v>0.98231392778187177</v>
      </c>
      <c r="G7" s="10">
        <f>AVERAGEIF('Cálculo_IC-INDE'!$C$2:$C$70,A7,'Cálculo_IC-INDE'!$N$2:$N$70)</f>
        <v>65.904430531389522</v>
      </c>
      <c r="H7" s="10">
        <f>IFERROR(SUMIF('Cálculo_IC-INDE'!$C$2:$C$70,A7,'Cálculo_IC-INDE'!$V$2:$V$70)/C7,0)</f>
        <v>85.189158657769269</v>
      </c>
      <c r="I7" s="22">
        <f>AVERAGEIF('Cálculo_IC-INDE'!$C$2:$C$70,A7,'Cálculo_IC-INDE'!$J$2:$J$70)</f>
        <v>0.76441558441558433</v>
      </c>
      <c r="J7" s="22">
        <f>AVERAGEIF('Cálculo_IC-INDE'!$C$2:$C$70,A7,'Cálculo_IC-INDE'!$L$2:$L$70)</f>
        <v>0.76308833748172689</v>
      </c>
      <c r="K7" s="22">
        <f>AVERAGEIF('Cálculo_IC-INDE'!$C$2:$C$70,A7,'Cálculo_IC-INDE'!$M$2:$M$70)</f>
        <v>0.34478861371622815</v>
      </c>
      <c r="L7" s="21">
        <f>C7/SUM('Cálculo_IC-INDE'!$F$2:$F$70)</f>
        <v>1.9979387514723203E-2</v>
      </c>
    </row>
    <row r="8" spans="1:12" ht="14.2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14.2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ht="15.75" customHeight="1" x14ac:dyDescent="0.25">
      <c r="A10" s="25" t="s">
        <v>224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30" customHeight="1" x14ac:dyDescent="0.25">
      <c r="A11" s="4" t="s">
        <v>217</v>
      </c>
      <c r="B11" s="4" t="s">
        <v>214</v>
      </c>
      <c r="C11" s="4" t="s">
        <v>5</v>
      </c>
      <c r="D11" s="4" t="s">
        <v>6</v>
      </c>
      <c r="E11" s="4" t="s">
        <v>7</v>
      </c>
      <c r="F11" s="4" t="s">
        <v>213</v>
      </c>
      <c r="G11" s="4" t="s">
        <v>218</v>
      </c>
      <c r="H11" s="4" t="s">
        <v>219</v>
      </c>
      <c r="I11" s="4" t="s">
        <v>220</v>
      </c>
      <c r="J11" s="4" t="s">
        <v>221</v>
      </c>
      <c r="K11" s="4" t="s">
        <v>222</v>
      </c>
      <c r="L11" s="4" t="s">
        <v>223</v>
      </c>
    </row>
    <row r="12" spans="1:12" ht="14.25" customHeight="1" x14ac:dyDescent="0.25">
      <c r="A12" s="9" t="s">
        <v>66</v>
      </c>
      <c r="B12" s="11">
        <f>COUNTIF('Cálculo_IC-INDE'!$D$2:$D$70,A12)</f>
        <v>6</v>
      </c>
      <c r="C12" s="11">
        <f>SUMIF('Cálculo_IC-INDE'!$D$2:$D$70,A12,'Cálculo_IC-INDE'!$F$2:$F$70)</f>
        <v>6789</v>
      </c>
      <c r="D12" s="11">
        <f>SUMIF('Cálculo_IC-INDE'!$D$2:$D$70,A12,'Cálculo_IC-INDE'!$G$2:$G$70)</f>
        <v>6788</v>
      </c>
      <c r="E12" s="11">
        <f>SUMIF('Cálculo_IC-INDE'!$D$2:$D$70,A12,'Cálculo_IC-INDE'!$H$2:$H$70)</f>
        <v>1</v>
      </c>
      <c r="F12" s="21">
        <f t="shared" ref="F12:F19" si="0">IFERROR(D12/C12,0)</f>
        <v>0.99985270290175288</v>
      </c>
      <c r="G12" s="10">
        <f>AVERAGEIF('Cálculo_IC-INDE'!$D$2:$D$70,A12,'Cálculo_IC-INDE'!$N$2:$N$70)</f>
        <v>88.914821016910665</v>
      </c>
      <c r="H12" s="10">
        <f>IFERROR(SUMIF('Cálculo_IC-INDE'!$D$2:$D$70,A12,'Cálculo_IC-INDE'!$V$2:$V$70)/C12,0)</f>
        <v>91.15006250543162</v>
      </c>
      <c r="I12" s="22">
        <f>AVERAGEIF('Cálculo_IC-INDE'!$D$2:$D$70,A12,'Cálculo_IC-INDE'!$J$2:$J$70)</f>
        <v>0.99984172206394428</v>
      </c>
      <c r="J12" s="22">
        <f>AVERAGEIF('Cálculo_IC-INDE'!$D$2:$D$70,A12,'Cálculo_IC-INDE'!$L$2:$L$70)</f>
        <v>0.90994026303514264</v>
      </c>
      <c r="K12" s="22">
        <f>AVERAGEIF('Cálculo_IC-INDE'!$D$2:$D$70,A12,'Cálculo_IC-INDE'!$M$2:$M$70)</f>
        <v>0.68292971712491646</v>
      </c>
      <c r="L12" s="21">
        <f>C12/SUM('Cálculo_IC-INDE'!$F$2:$F$70)</f>
        <v>9.9955830388692574E-2</v>
      </c>
    </row>
    <row r="13" spans="1:12" ht="14.25" customHeight="1" x14ac:dyDescent="0.25">
      <c r="A13" s="9" t="s">
        <v>159</v>
      </c>
      <c r="B13" s="11">
        <f>COUNTIF('Cálculo_IC-INDE'!$D$2:$D$70,A13)</f>
        <v>1</v>
      </c>
      <c r="C13" s="11">
        <f>SUMIF('Cálculo_IC-INDE'!$D$2:$D$70,A13,'Cálculo_IC-INDE'!$F$2:$F$70)</f>
        <v>25</v>
      </c>
      <c r="D13" s="11">
        <f>SUMIF('Cálculo_IC-INDE'!$D$2:$D$70,A13,'Cálculo_IC-INDE'!$G$2:$G$70)</f>
        <v>23</v>
      </c>
      <c r="E13" s="11">
        <f>SUMIF('Cálculo_IC-INDE'!$D$2:$D$70,A13,'Cálculo_IC-INDE'!$H$2:$H$70)</f>
        <v>2</v>
      </c>
      <c r="F13" s="21">
        <f t="shared" si="0"/>
        <v>0.92</v>
      </c>
      <c r="G13" s="10">
        <f>AVERAGEIF('Cálculo_IC-INDE'!$D$2:$D$70,A13,'Cálculo_IC-INDE'!$N$2:$N$70)</f>
        <v>78.669256532115767</v>
      </c>
      <c r="H13" s="10">
        <f>IFERROR(SUMIF('Cálculo_IC-INDE'!$D$2:$D$70,A13,'Cálculo_IC-INDE'!$V$2:$V$70)/C13,0)</f>
        <v>78.669256532115767</v>
      </c>
      <c r="I13" s="22">
        <f>AVERAGEIF('Cálculo_IC-INDE'!$D$2:$D$70,A13,'Cálculo_IC-INDE'!$J$2:$J$70)</f>
        <v>0.92</v>
      </c>
      <c r="J13" s="22">
        <f>AVERAGEIF('Cálculo_IC-INDE'!$D$2:$D$70,A13,'Cálculo_IC-INDE'!$L$2:$L$70)</f>
        <v>0.96273155278840761</v>
      </c>
      <c r="K13" s="22">
        <f>AVERAGEIF('Cálculo_IC-INDE'!$D$2:$D$70,A13,'Cálculo_IC-INDE'!$M$2:$M$70)</f>
        <v>0.32694608738085973</v>
      </c>
      <c r="L13" s="21">
        <f>C13/SUM('Cálculo_IC-INDE'!$F$2:$F$70)</f>
        <v>3.6808009422850414E-4</v>
      </c>
    </row>
    <row r="14" spans="1:12" ht="14.25" customHeight="1" x14ac:dyDescent="0.25">
      <c r="A14" s="9" t="s">
        <v>23</v>
      </c>
      <c r="B14" s="11">
        <f>COUNTIF('Cálculo_IC-INDE'!$D$2:$D$70,A14)</f>
        <v>7</v>
      </c>
      <c r="C14" s="11">
        <f>SUMIF('Cálculo_IC-INDE'!$D$2:$D$70,A14,'Cálculo_IC-INDE'!$F$2:$F$70)</f>
        <v>4921</v>
      </c>
      <c r="D14" s="11">
        <f>SUMIF('Cálculo_IC-INDE'!$D$2:$D$70,A14,'Cálculo_IC-INDE'!$G$2:$G$70)</f>
        <v>4886</v>
      </c>
      <c r="E14" s="11">
        <f>SUMIF('Cálculo_IC-INDE'!$D$2:$D$70,A14,'Cálculo_IC-INDE'!$H$2:$H$70)</f>
        <v>35</v>
      </c>
      <c r="F14" s="21">
        <f t="shared" si="0"/>
        <v>0.99288762446657186</v>
      </c>
      <c r="G14" s="10">
        <f>AVERAGEIF('Cálculo_IC-INDE'!$D$2:$D$70,A14,'Cálculo_IC-INDE'!$N$2:$N$70)</f>
        <v>75.302032342076387</v>
      </c>
      <c r="H14" s="10">
        <f>IFERROR(SUMIF('Cálculo_IC-INDE'!$D$2:$D$70,A14,'Cálculo_IC-INDE'!$V$2:$V$70)/C14,0)</f>
        <v>91.185133088511392</v>
      </c>
      <c r="I14" s="22">
        <f>AVERAGEIF('Cálculo_IC-INDE'!$D$2:$D$70,A14,'Cálculo_IC-INDE'!$J$2:$J$70)</f>
        <v>0.95232117951783224</v>
      </c>
      <c r="J14" s="22">
        <f>AVERAGEIF('Cálculo_IC-INDE'!$D$2:$D$70,A14,'Cálculo_IC-INDE'!$L$2:$L$70)</f>
        <v>0.73259553093283358</v>
      </c>
      <c r="K14" s="22">
        <f>AVERAGEIF('Cálculo_IC-INDE'!$D$2:$D$70,A14,'Cálculo_IC-INDE'!$M$2:$M$70)</f>
        <v>0.46273366314855729</v>
      </c>
      <c r="L14" s="21">
        <f>C14/SUM('Cálculo_IC-INDE'!$F$2:$F$70)</f>
        <v>7.2452885747938747E-2</v>
      </c>
    </row>
    <row r="15" spans="1:12" ht="14.25" customHeight="1" x14ac:dyDescent="0.25">
      <c r="A15" s="9" t="s">
        <v>34</v>
      </c>
      <c r="B15" s="11">
        <f>COUNTIF('Cálculo_IC-INDE'!$D$2:$D$70,A15)</f>
        <v>6</v>
      </c>
      <c r="C15" s="11">
        <f>SUMIF('Cálculo_IC-INDE'!$D$2:$D$70,A15,'Cálculo_IC-INDE'!$F$2:$F$70)</f>
        <v>27795</v>
      </c>
      <c r="D15" s="11">
        <f>SUMIF('Cálculo_IC-INDE'!$D$2:$D$70,A15,'Cálculo_IC-INDE'!$G$2:$G$70)</f>
        <v>25177</v>
      </c>
      <c r="E15" s="11">
        <f>SUMIF('Cálculo_IC-INDE'!$D$2:$D$70,A15,'Cálculo_IC-INDE'!$H$2:$H$70)</f>
        <v>2618</v>
      </c>
      <c r="F15" s="21">
        <f t="shared" si="0"/>
        <v>0.90581039755351678</v>
      </c>
      <c r="G15" s="10">
        <f>AVERAGEIF('Cálculo_IC-INDE'!$D$2:$D$70,A15,'Cálculo_IC-INDE'!$N$2:$N$70)</f>
        <v>69.236367640607611</v>
      </c>
      <c r="H15" s="10">
        <f>IFERROR(SUMIF('Cálculo_IC-INDE'!$D$2:$D$70,A15,'Cálculo_IC-INDE'!$V$2:$V$70)/C15,0)</f>
        <v>90.658235415878877</v>
      </c>
      <c r="I15" s="22">
        <f>AVERAGEIF('Cálculo_IC-INDE'!$D$2:$D$70,A15,'Cálculo_IC-INDE'!$J$2:$J$70)</f>
        <v>0.80545514457014045</v>
      </c>
      <c r="J15" s="22">
        <f>AVERAGEIF('Cálculo_IC-INDE'!$D$2:$D$70,A15,'Cálculo_IC-INDE'!$L$2:$L$70)</f>
        <v>0.68301419961027043</v>
      </c>
      <c r="K15" s="22">
        <f>AVERAGEIF('Cálculo_IC-INDE'!$D$2:$D$70,A15,'Cálculo_IC-INDE'!$M$2:$M$70)</f>
        <v>0.5245065948577009</v>
      </c>
      <c r="L15" s="21">
        <f>C15/SUM('Cálculo_IC-INDE'!$F$2:$F$70)</f>
        <v>0.4092314487632509</v>
      </c>
    </row>
    <row r="16" spans="1:12" ht="14.25" customHeight="1" x14ac:dyDescent="0.25">
      <c r="A16" s="9" t="s">
        <v>12</v>
      </c>
      <c r="B16" s="11">
        <f>COUNTIF('Cálculo_IC-INDE'!$D$2:$D$70,A16)</f>
        <v>11</v>
      </c>
      <c r="C16" s="11">
        <f>SUMIF('Cálculo_IC-INDE'!$D$2:$D$70,A16,'Cálculo_IC-INDE'!$F$2:$F$70)</f>
        <v>22489</v>
      </c>
      <c r="D16" s="11">
        <f>SUMIF('Cálculo_IC-INDE'!$D$2:$D$70,A16,'Cálculo_IC-INDE'!$G$2:$G$70)</f>
        <v>22377</v>
      </c>
      <c r="E16" s="11">
        <f>SUMIF('Cálculo_IC-INDE'!$D$2:$D$70,A16,'Cálculo_IC-INDE'!$H$2:$H$70)</f>
        <v>112</v>
      </c>
      <c r="F16" s="21">
        <f t="shared" si="0"/>
        <v>0.99501978745164299</v>
      </c>
      <c r="G16" s="10">
        <f>AVERAGEIF('Cálculo_IC-INDE'!$D$2:$D$70,A16,'Cálculo_IC-INDE'!$N$2:$N$70)</f>
        <v>67.406685235040214</v>
      </c>
      <c r="H16" s="10">
        <f>IFERROR(SUMIF('Cálculo_IC-INDE'!$D$2:$D$70,A16,'Cálculo_IC-INDE'!$V$2:$V$70)/C16,0)</f>
        <v>98.670672606053444</v>
      </c>
      <c r="I16" s="22">
        <f>AVERAGEIF('Cálculo_IC-INDE'!$D$2:$D$70,A16,'Cálculo_IC-INDE'!$J$2:$J$70)</f>
        <v>0.81370596938095796</v>
      </c>
      <c r="J16" s="22">
        <f>AVERAGEIF('Cálculo_IC-INDE'!$D$2:$D$70,A16,'Cálculo_IC-INDE'!$L$2:$L$70)</f>
        <v>0.6842329183354493</v>
      </c>
      <c r="K16" s="22">
        <f>AVERAGEIF('Cálculo_IC-INDE'!$D$2:$D$70,A16,'Cálculo_IC-INDE'!$M$2:$M$70)</f>
        <v>0.43641177272244724</v>
      </c>
      <c r="L16" s="21">
        <f>C16/SUM('Cálculo_IC-INDE'!$F$2:$F$70)</f>
        <v>0.33111012956419317</v>
      </c>
    </row>
    <row r="17" spans="1:12" ht="14.25" customHeight="1" x14ac:dyDescent="0.25">
      <c r="A17" s="9" t="s">
        <v>115</v>
      </c>
      <c r="B17" s="11">
        <f>COUNTIF('Cálculo_IC-INDE'!$D$2:$D$70,A17)</f>
        <v>8</v>
      </c>
      <c r="C17" s="11">
        <f>SUMIF('Cálculo_IC-INDE'!$D$2:$D$70,A17,'Cálculo_IC-INDE'!$F$2:$F$70)</f>
        <v>1101</v>
      </c>
      <c r="D17" s="11">
        <f>SUMIF('Cálculo_IC-INDE'!$D$2:$D$70,A17,'Cálculo_IC-INDE'!$G$2:$G$70)</f>
        <v>1079</v>
      </c>
      <c r="E17" s="11">
        <f>SUMIF('Cálculo_IC-INDE'!$D$2:$D$70,A17,'Cálculo_IC-INDE'!$H$2:$H$70)</f>
        <v>22</v>
      </c>
      <c r="F17" s="21">
        <f t="shared" si="0"/>
        <v>0.98001816530426888</v>
      </c>
      <c r="G17" s="10">
        <f>AVERAGEIF('Cálculo_IC-INDE'!$D$2:$D$70,A17,'Cálculo_IC-INDE'!$N$2:$N$70)</f>
        <v>60.633545513943027</v>
      </c>
      <c r="H17" s="10">
        <f>IFERROR(SUMIF('Cálculo_IC-INDE'!$D$2:$D$70,A17,'Cálculo_IC-INDE'!$V$2:$V$70)/C17,0)</f>
        <v>86.322943711055018</v>
      </c>
      <c r="I17" s="22">
        <f>AVERAGEIF('Cálculo_IC-INDE'!$D$2:$D$70,A17,'Cálculo_IC-INDE'!$J$2:$J$70)</f>
        <v>0.68607142857142855</v>
      </c>
      <c r="J17" s="22">
        <f>AVERAGEIF('Cálculo_IC-INDE'!$D$2:$D$70,A17,'Cálculo_IC-INDE'!$L$2:$L$70)</f>
        <v>0.71079506750293409</v>
      </c>
      <c r="K17" s="22">
        <f>AVERAGEIF('Cálculo_IC-INDE'!$D$2:$D$70,A17,'Cálculo_IC-INDE'!$M$2:$M$70)</f>
        <v>0.33251444033932781</v>
      </c>
      <c r="L17" s="21">
        <f>C17/SUM('Cálculo_IC-INDE'!$F$2:$F$70)</f>
        <v>1.621024734982332E-2</v>
      </c>
    </row>
    <row r="18" spans="1:12" ht="14.25" customHeight="1" x14ac:dyDescent="0.25">
      <c r="A18" s="9" t="s">
        <v>26</v>
      </c>
      <c r="B18" s="11">
        <f>COUNTIF('Cálculo_IC-INDE'!$D$2:$D$70,A18)</f>
        <v>23</v>
      </c>
      <c r="C18" s="11">
        <f>SUMIF('Cálculo_IC-INDE'!$D$2:$D$70,A18,'Cálculo_IC-INDE'!$F$2:$F$70)</f>
        <v>4524</v>
      </c>
      <c r="D18" s="11">
        <f>SUMIF('Cálculo_IC-INDE'!$D$2:$D$70,A18,'Cálculo_IC-INDE'!$G$2:$G$70)</f>
        <v>4195</v>
      </c>
      <c r="E18" s="11">
        <f>SUMIF('Cálculo_IC-INDE'!$D$2:$D$70,A18,'Cálculo_IC-INDE'!$H$2:$H$70)</f>
        <v>329</v>
      </c>
      <c r="F18" s="21">
        <f t="shared" si="0"/>
        <v>0.92727674624226353</v>
      </c>
      <c r="G18" s="10">
        <f>AVERAGEIF('Cálculo_IC-INDE'!$D$2:$D$70,A18,'Cálculo_IC-INDE'!$N$2:$N$70)</f>
        <v>57.28313314239022</v>
      </c>
      <c r="H18" s="10">
        <f>IFERROR(SUMIF('Cálculo_IC-INDE'!$D$2:$D$70,A18,'Cálculo_IC-INDE'!$V$2:$V$70)/C18,0)</f>
        <v>75.762639552288434</v>
      </c>
      <c r="I18" s="22">
        <f>AVERAGEIF('Cálculo_IC-INDE'!$D$2:$D$70,A18,'Cálculo_IC-INDE'!$J$2:$J$70)</f>
        <v>0.76727446766349328</v>
      </c>
      <c r="J18" s="22">
        <f>AVERAGEIF('Cálculo_IC-INDE'!$D$2:$D$70,A18,'Cálculo_IC-INDE'!$L$2:$L$70)</f>
        <v>0.48287189939208119</v>
      </c>
      <c r="K18" s="22">
        <f>AVERAGEIF('Cálculo_IC-INDE'!$D$2:$D$70,A18,'Cálculo_IC-INDE'!$M$2:$M$70)</f>
        <v>0.38766551828510598</v>
      </c>
      <c r="L18" s="21">
        <f>C18/SUM('Cálculo_IC-INDE'!$F$2:$F$70)</f>
        <v>6.6607773851590099E-2</v>
      </c>
    </row>
    <row r="19" spans="1:12" ht="14.25" customHeight="1" x14ac:dyDescent="0.25">
      <c r="A19" s="9" t="s">
        <v>30</v>
      </c>
      <c r="B19" s="11">
        <f>COUNTIF('Cálculo_IC-INDE'!$D$2:$D$70,A19)</f>
        <v>7</v>
      </c>
      <c r="C19" s="11">
        <f>SUMIF('Cálculo_IC-INDE'!$D$2:$D$70,A19,'Cálculo_IC-INDE'!$F$2:$F$70)</f>
        <v>276</v>
      </c>
      <c r="D19" s="11">
        <f>SUMIF('Cálculo_IC-INDE'!$D$2:$D$70,A19,'Cálculo_IC-INDE'!$G$2:$G$70)</f>
        <v>173</v>
      </c>
      <c r="E19" s="11">
        <f>SUMIF('Cálculo_IC-INDE'!$D$2:$D$70,A19,'Cálculo_IC-INDE'!$H$2:$H$70)</f>
        <v>103</v>
      </c>
      <c r="F19" s="21">
        <f t="shared" si="0"/>
        <v>0.62681159420289856</v>
      </c>
      <c r="G19" s="10">
        <f>AVERAGEIF('Cálculo_IC-INDE'!$D$2:$D$70,A19,'Cálculo_IC-INDE'!$N$2:$N$70)</f>
        <v>52.598840978724418</v>
      </c>
      <c r="H19" s="10">
        <f>IFERROR(SUMIF('Cálculo_IC-INDE'!$D$2:$D$70,A19,'Cálculo_IC-INDE'!$V$2:$V$70)/C19,0)</f>
        <v>56.121244476567647</v>
      </c>
      <c r="I19" s="22">
        <f>AVERAGEIF('Cálculo_IC-INDE'!$D$2:$D$70,A19,'Cálculo_IC-INDE'!$J$2:$J$70)</f>
        <v>0.603645147123408</v>
      </c>
      <c r="J19" s="22">
        <f>AVERAGEIF('Cálculo_IC-INDE'!$D$2:$D$70,A19,'Cálculo_IC-INDE'!$L$2:$L$70)</f>
        <v>0.59009529537674621</v>
      </c>
      <c r="K19" s="22">
        <f>AVERAGEIF('Cálculo_IC-INDE'!$D$2:$D$70,A19,'Cálculo_IC-INDE'!$M$2:$M$70)</f>
        <v>0.31198799022407908</v>
      </c>
      <c r="L19" s="21">
        <f>C19/SUM('Cálculo_IC-INDE'!$F$2:$F$70)</f>
        <v>4.0636042402826854E-3</v>
      </c>
    </row>
    <row r="20" spans="1:12" ht="14.2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4.2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5.75" customHeight="1" x14ac:dyDescent="0.25">
      <c r="A22" s="25" t="s">
        <v>225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30" customHeight="1" x14ac:dyDescent="0.25">
      <c r="A23" s="4" t="s">
        <v>217</v>
      </c>
      <c r="B23" s="4" t="s">
        <v>214</v>
      </c>
      <c r="C23" s="4" t="s">
        <v>5</v>
      </c>
      <c r="D23" s="4" t="s">
        <v>6</v>
      </c>
      <c r="E23" s="4" t="s">
        <v>7</v>
      </c>
      <c r="F23" s="4" t="s">
        <v>213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  <c r="L23" s="4" t="s">
        <v>223</v>
      </c>
    </row>
    <row r="24" spans="1:12" ht="14.25" customHeight="1" x14ac:dyDescent="0.25">
      <c r="A24" s="9" t="s">
        <v>11</v>
      </c>
      <c r="B24" s="11">
        <f>COUNTIF('Cálculo_IC-INDE'!$E$2:$E$70,A24)</f>
        <v>41</v>
      </c>
      <c r="C24" s="11">
        <f>SUMIF('Cálculo_IC-INDE'!$E$2:$E$70,A24,'Cálculo_IC-INDE'!$F$2:$F$70)</f>
        <v>54676</v>
      </c>
      <c r="D24" s="11">
        <f>SUMIF('Cálculo_IC-INDE'!$E$2:$E$70,A24,'Cálculo_IC-INDE'!$G$2:$G$70)</f>
        <v>51695</v>
      </c>
      <c r="E24" s="11">
        <f>SUMIF('Cálculo_IC-INDE'!$E$2:$E$70,A24,'Cálculo_IC-INDE'!$H$2:$H$70)</f>
        <v>2981</v>
      </c>
      <c r="F24" s="21">
        <f t="shared" ref="F24:F29" si="1">IFERROR(D24/C24,0)</f>
        <v>0.94547882068915068</v>
      </c>
      <c r="G24" s="10">
        <f>AVERAGEIF('Cálculo_IC-INDE'!$E$2:$E$70,A24,'Cálculo_IC-INDE'!$N$2:$N$70)</f>
        <v>62.426861835697231</v>
      </c>
      <c r="H24" s="10">
        <f>IFERROR(SUMIF('Cálculo_IC-INDE'!$E$2:$E$70,A24,'Cálculo_IC-INDE'!$V$2:$V$70)/C24,0)</f>
        <v>93.49663616802286</v>
      </c>
      <c r="I24" s="22">
        <f>AVERAGEIF('Cálculo_IC-INDE'!$E$2:$E$70,A24,'Cálculo_IC-INDE'!$J$2:$J$70)</f>
        <v>0.77438553683447342</v>
      </c>
      <c r="J24" s="22">
        <f>AVERAGEIF('Cálculo_IC-INDE'!$E$2:$E$70,A24,'Cálculo_IC-INDE'!$L$2:$L$70)</f>
        <v>0.61298668081604468</v>
      </c>
      <c r="K24" s="22">
        <f>AVERAGEIF('Cálculo_IC-INDE'!$E$2:$E$70,A24,'Cálculo_IC-INDE'!$M$2:$M$70)</f>
        <v>0.39987626135026844</v>
      </c>
      <c r="L24" s="21">
        <f>C24/SUM('Cálculo_IC-INDE'!$F$2:$F$70)</f>
        <v>0.80500588928150763</v>
      </c>
    </row>
    <row r="25" spans="1:12" ht="14.25" customHeight="1" x14ac:dyDescent="0.25">
      <c r="A25" s="9" t="s">
        <v>27</v>
      </c>
      <c r="B25" s="11">
        <f>COUNTIF('Cálculo_IC-INDE'!$E$2:$E$70,A25)</f>
        <v>1</v>
      </c>
      <c r="C25" s="11">
        <f>SUMIF('Cálculo_IC-INDE'!$E$2:$E$70,A25,'Cálculo_IC-INDE'!$F$2:$F$70)</f>
        <v>1385</v>
      </c>
      <c r="D25" s="11">
        <f>SUMIF('Cálculo_IC-INDE'!$E$2:$E$70,A25,'Cálculo_IC-INDE'!$G$2:$G$70)</f>
        <v>1385</v>
      </c>
      <c r="E25" s="11">
        <f>SUMIF('Cálculo_IC-INDE'!$E$2:$E$70,A25,'Cálculo_IC-INDE'!$H$2:$H$70)</f>
        <v>0</v>
      </c>
      <c r="F25" s="21">
        <f t="shared" si="1"/>
        <v>1</v>
      </c>
      <c r="G25" s="10">
        <f>AVERAGEIF('Cálculo_IC-INDE'!$E$2:$E$70,A25,'Cálculo_IC-INDE'!$N$2:$N$70)</f>
        <v>81.021695006520474</v>
      </c>
      <c r="H25" s="10">
        <f>IFERROR(SUMIF('Cálculo_IC-INDE'!$E$2:$E$70,A25,'Cálculo_IC-INDE'!$V$2:$V$70)/C25,0)</f>
        <v>81.021695006520474</v>
      </c>
      <c r="I25" s="22">
        <f>AVERAGEIF('Cálculo_IC-INDE'!$E$2:$E$70,A25,'Cálculo_IC-INDE'!$J$2:$J$70)</f>
        <v>1</v>
      </c>
      <c r="J25" s="22">
        <f>AVERAGEIF('Cálculo_IC-INDE'!$E$2:$E$70,A25,'Cálculo_IC-INDE'!$L$2:$L$70)</f>
        <v>0.65351912869868123</v>
      </c>
      <c r="K25" s="22">
        <f>AVERAGEIF('Cálculo_IC-INDE'!$E$2:$E$70,A25,'Cálculo_IC-INDE'!$M$2:$M$70)</f>
        <v>0.72594102008266537</v>
      </c>
      <c r="L25" s="21">
        <f>C25/SUM('Cálculo_IC-INDE'!$F$2:$F$70)</f>
        <v>2.0391637220259128E-2</v>
      </c>
    </row>
    <row r="26" spans="1:12" ht="14.25" customHeight="1" x14ac:dyDescent="0.25">
      <c r="A26" s="9" t="s">
        <v>46</v>
      </c>
      <c r="B26" s="11">
        <f>COUNTIF('Cálculo_IC-INDE'!$E$2:$E$70,A26)</f>
        <v>10</v>
      </c>
      <c r="C26" s="11">
        <f>SUMIF('Cálculo_IC-INDE'!$E$2:$E$70,A26,'Cálculo_IC-INDE'!$F$2:$F$70)</f>
        <v>2476</v>
      </c>
      <c r="D26" s="11">
        <f>SUMIF('Cálculo_IC-INDE'!$E$2:$E$70,A26,'Cálculo_IC-INDE'!$G$2:$G$70)</f>
        <v>2453</v>
      </c>
      <c r="E26" s="11">
        <f>SUMIF('Cálculo_IC-INDE'!$E$2:$E$70,A26,'Cálculo_IC-INDE'!$H$2:$H$70)</f>
        <v>23</v>
      </c>
      <c r="F26" s="21">
        <f t="shared" si="1"/>
        <v>0.99071082390953147</v>
      </c>
      <c r="G26" s="10">
        <f>AVERAGEIF('Cálculo_IC-INDE'!$E$2:$E$70,A26,'Cálculo_IC-INDE'!$N$2:$N$70)</f>
        <v>60.52893148703474</v>
      </c>
      <c r="H26" s="10">
        <f>IFERROR(SUMIF('Cálculo_IC-INDE'!$E$2:$E$70,A26,'Cálculo_IC-INDE'!$V$2:$V$70)/C26,0)</f>
        <v>90.434217087123869</v>
      </c>
      <c r="I26" s="22">
        <f>AVERAGEIF('Cálculo_IC-INDE'!$E$2:$E$70,A26,'Cálculo_IC-INDE'!$J$2:$J$70)</f>
        <v>0.74261904761904751</v>
      </c>
      <c r="J26" s="22">
        <f>AVERAGEIF('Cálculo_IC-INDE'!$E$2:$E$70,A26,'Cálculo_IC-INDE'!$L$2:$L$70)</f>
        <v>0.62573881725073099</v>
      </c>
      <c r="K26" s="22">
        <f>AVERAGEIF('Cálculo_IC-INDE'!$E$2:$E$70,A26,'Cálculo_IC-INDE'!$M$2:$M$70)</f>
        <v>0.35693243913988942</v>
      </c>
      <c r="L26" s="21">
        <f>C26/SUM('Cálculo_IC-INDE'!$F$2:$F$70)</f>
        <v>3.6454652532391045E-2</v>
      </c>
    </row>
    <row r="27" spans="1:12" ht="14.25" customHeight="1" x14ac:dyDescent="0.25">
      <c r="A27" s="9" t="s">
        <v>138</v>
      </c>
      <c r="B27" s="11">
        <f>COUNTIF('Cálculo_IC-INDE'!$E$2:$E$70,A27)</f>
        <v>4</v>
      </c>
      <c r="C27" s="11">
        <f>SUMIF('Cálculo_IC-INDE'!$E$2:$E$70,A27,'Cálculo_IC-INDE'!$F$2:$F$70)</f>
        <v>1627</v>
      </c>
      <c r="D27" s="11">
        <f>SUMIF('Cálculo_IC-INDE'!$E$2:$E$70,A27,'Cálculo_IC-INDE'!$G$2:$G$70)</f>
        <v>1559</v>
      </c>
      <c r="E27" s="11">
        <f>SUMIF('Cálculo_IC-INDE'!$E$2:$E$70,A27,'Cálculo_IC-INDE'!$H$2:$H$70)</f>
        <v>68</v>
      </c>
      <c r="F27" s="21">
        <f t="shared" si="1"/>
        <v>0.95820528580208975</v>
      </c>
      <c r="G27" s="10">
        <f>AVERAGEIF('Cálculo_IC-INDE'!$E$2:$E$70,A27,'Cálculo_IC-INDE'!$N$2:$N$70)</f>
        <v>62.52599296705823</v>
      </c>
      <c r="H27" s="10">
        <f>IFERROR(SUMIF('Cálculo_IC-INDE'!$E$2:$E$70,A27,'Cálculo_IC-INDE'!$V$2:$V$70)/C27,0)</f>
        <v>75.552774010460979</v>
      </c>
      <c r="I27" s="22">
        <f>AVERAGEIF('Cálculo_IC-INDE'!$E$2:$E$70,A27,'Cálculo_IC-INDE'!$J$2:$J$70)</f>
        <v>0.81521739130434778</v>
      </c>
      <c r="J27" s="22">
        <f>AVERAGEIF('Cálculo_IC-INDE'!$E$2:$E$70,A27,'Cálculo_IC-INDE'!$L$2:$L$70)</f>
        <v>0.44465353370019428</v>
      </c>
      <c r="K27" s="22">
        <f>AVERAGEIF('Cálculo_IC-INDE'!$E$2:$E$70,A27,'Cálculo_IC-INDE'!$M$2:$M$70)</f>
        <v>0.57417694541510089</v>
      </c>
      <c r="L27" s="21">
        <f>C27/SUM('Cálculo_IC-INDE'!$F$2:$F$70)</f>
        <v>2.3954652532391048E-2</v>
      </c>
    </row>
    <row r="28" spans="1:12" ht="14.25" customHeight="1" x14ac:dyDescent="0.25">
      <c r="A28" s="9" t="s">
        <v>51</v>
      </c>
      <c r="B28" s="11">
        <f>COUNTIF('Cálculo_IC-INDE'!$E$2:$E$70,A28)</f>
        <v>11</v>
      </c>
      <c r="C28" s="11">
        <f>SUMIF('Cálculo_IC-INDE'!$E$2:$E$70,A28,'Cálculo_IC-INDE'!$F$2:$F$70)</f>
        <v>5790</v>
      </c>
      <c r="D28" s="11">
        <f>SUMIF('Cálculo_IC-INDE'!$E$2:$E$70,A28,'Cálculo_IC-INDE'!$G$2:$G$70)</f>
        <v>5643</v>
      </c>
      <c r="E28" s="11">
        <f>SUMIF('Cálculo_IC-INDE'!$E$2:$E$70,A28,'Cálculo_IC-INDE'!$H$2:$H$70)</f>
        <v>147</v>
      </c>
      <c r="F28" s="21">
        <f t="shared" si="1"/>
        <v>0.97461139896373061</v>
      </c>
      <c r="G28" s="10">
        <f>AVERAGEIF('Cálculo_IC-INDE'!$E$2:$E$70,A28,'Cálculo_IC-INDE'!$N$2:$N$70)</f>
        <v>77.337386281188117</v>
      </c>
      <c r="H28" s="10">
        <f>IFERROR(SUMIF('Cálculo_IC-INDE'!$E$2:$E$70,A28,'Cálculo_IC-INDE'!$V$2:$V$70)/C28,0)</f>
        <v>87.377479298944152</v>
      </c>
      <c r="I28" s="22">
        <f>AVERAGEIF('Cálculo_IC-INDE'!$E$2:$E$70,A28,'Cálculo_IC-INDE'!$J$2:$J$70)</f>
        <v>0.93575711660856598</v>
      </c>
      <c r="J28" s="22">
        <f>AVERAGEIF('Cálculo_IC-INDE'!$E$2:$E$70,A28,'Cálculo_IC-INDE'!$L$2:$L$70)</f>
        <v>0.78405771776894406</v>
      </c>
      <c r="K28" s="22">
        <f>AVERAGEIF('Cálculo_IC-INDE'!$E$2:$E$70,A28,'Cálculo_IC-INDE'!$M$2:$M$70)</f>
        <v>0.49860325979729758</v>
      </c>
      <c r="L28" s="21">
        <f>C28/SUM('Cálculo_IC-INDE'!$F$2:$F$70)</f>
        <v>8.524734982332155E-2</v>
      </c>
    </row>
    <row r="29" spans="1:12" ht="14.25" customHeight="1" x14ac:dyDescent="0.25">
      <c r="A29" s="9" t="s">
        <v>31</v>
      </c>
      <c r="B29" s="11">
        <f>COUNTIF('Cálculo_IC-INDE'!$E$2:$E$70,A29)</f>
        <v>2</v>
      </c>
      <c r="C29" s="11">
        <f>SUMIF('Cálculo_IC-INDE'!$E$2:$E$70,A29,'Cálculo_IC-INDE'!$F$2:$F$70)</f>
        <v>1966</v>
      </c>
      <c r="D29" s="11">
        <f>SUMIF('Cálculo_IC-INDE'!$E$2:$E$70,A29,'Cálculo_IC-INDE'!$G$2:$G$70)</f>
        <v>1963</v>
      </c>
      <c r="E29" s="11">
        <f>SUMIF('Cálculo_IC-INDE'!$E$2:$E$70,A29,'Cálculo_IC-INDE'!$H$2:$H$70)</f>
        <v>3</v>
      </c>
      <c r="F29" s="21">
        <f t="shared" si="1"/>
        <v>0.99847405900305186</v>
      </c>
      <c r="G29" s="10">
        <f>AVERAGEIF('Cálculo_IC-INDE'!$E$2:$E$70,A29,'Cálculo_IC-INDE'!$N$2:$N$70)</f>
        <v>60.154449796518534</v>
      </c>
      <c r="H29" s="10">
        <f>IFERROR(SUMIF('Cálculo_IC-INDE'!$E$2:$E$70,A29,'Cálculo_IC-INDE'!$V$2:$V$70)/C29,0)</f>
        <v>93.91960553337573</v>
      </c>
      <c r="I29" s="22">
        <f>AVERAGEIF('Cálculo_IC-INDE'!$E$2:$E$70,A29,'Cálculo_IC-INDE'!$J$2:$J$70)</f>
        <v>0.5</v>
      </c>
      <c r="J29" s="22">
        <f>AVERAGEIF('Cálculo_IC-INDE'!$E$2:$E$70,A29,'Cálculo_IC-INDE'!$L$2:$L$70)</f>
        <v>0.82583009781811967</v>
      </c>
      <c r="K29" s="22">
        <f>AVERAGEIF('Cálculo_IC-INDE'!$E$2:$E$70,A29,'Cálculo_IC-INDE'!$M$2:$M$70)</f>
        <v>0.4500158549153741</v>
      </c>
      <c r="L29" s="21">
        <f>C29/SUM('Cálculo_IC-INDE'!$F$2:$F$70)</f>
        <v>2.8945818610129563E-2</v>
      </c>
    </row>
  </sheetData>
  <mergeCells count="4">
    <mergeCell ref="A1:L1"/>
    <mergeCell ref="A3:L3"/>
    <mergeCell ref="A10:L10"/>
    <mergeCell ref="A22:L2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Base_bruta</vt:lpstr>
      <vt:lpstr>Base_Tratada</vt:lpstr>
      <vt:lpstr>Parâmetros</vt:lpstr>
      <vt:lpstr>Cálculo_IC-INDE</vt:lpstr>
      <vt:lpstr>Agregações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Yasmin Viana R. de Almeida</cp:lastModifiedBy>
  <cp:revision>2</cp:revision>
  <dcterms:created xsi:type="dcterms:W3CDTF">2026-08-08T22:14:08Z</dcterms:created>
  <dcterms:modified xsi:type="dcterms:W3CDTF">2026-09-30T13:21:52Z</dcterms:modified>
  <dc:language>en-US</dc:language>
</cp:coreProperties>
</file>